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6"/>
  </bookViews>
  <sheets>
    <sheet name="SR-IP" sheetId="6" r:id="rId1"/>
    <sheet name="TW-IP" sheetId="7" r:id="rId2"/>
    <sheet name="IP" sheetId="8" r:id="rId3"/>
    <sheet name="SR" sheetId="9" r:id="rId4"/>
    <sheet name="Sheet2" sheetId="14" r:id="rId5"/>
    <sheet name="MES" sheetId="13" r:id="rId6"/>
    <sheet name="TW" sheetId="10" r:id="rId7"/>
    <sheet name="SR-Fixter SN" sheetId="11" r:id="rId8"/>
    <sheet name="TW-Fixtuer SN" sheetId="12" r:id="rId9"/>
  </sheets>
  <definedNames>
    <definedName name="_1">#REF!</definedName>
    <definedName name="_2">#REF!</definedName>
    <definedName name="_CON1">#REF!</definedName>
    <definedName name="_CON2">#REF!</definedName>
    <definedName name="_NET2">#REF!</definedName>
    <definedName name="_Order1" hidden="1">255</definedName>
    <definedName name="_Order2" hidden="1">255</definedName>
    <definedName name="_Sort" hidden="1">#REF!</definedName>
    <definedName name="A">#REF!</definedName>
    <definedName name="BOQ">#REF!</definedName>
    <definedName name="BVCISUMMARY">#REF!</definedName>
    <definedName name="COMMON">#REF!</definedName>
    <definedName name="CON_EQP_COS">#REF!</definedName>
    <definedName name="COVER">#REF!</definedName>
    <definedName name="CRITINST">#REF!</definedName>
    <definedName name="CRITPURC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Database">#REF!</definedName>
    <definedName name="Document_array">{"Book1"}</definedName>
    <definedName name="DSUMDATA">#REF!</definedName>
    <definedName name="duong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_xlnm.Extract">#REF!</definedName>
    <definedName name="h" hidden="1">{"'Sheet1'!$L$16"}</definedName>
    <definedName name="HapCKVA">#N/A</definedName>
    <definedName name="HapCKvar">#N/A</definedName>
    <definedName name="HapCKW">#N/A</definedName>
    <definedName name="HapIKVA">#N/A</definedName>
    <definedName name="HapIKvar">#N/A</definedName>
    <definedName name="HapIKW">#N/A</definedName>
    <definedName name="HapKVA">#N/A</definedName>
    <definedName name="HapSKVA">#N/A</definedName>
    <definedName name="HapSKW">#N/A</definedName>
    <definedName name="HOME_MANP">#REF!</definedName>
    <definedName name="HOMEOFFICE_COST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IDLAB_COST">#REF!</definedName>
    <definedName name="INDMANP">#REF!</definedName>
    <definedName name="loc">#REF!</definedName>
    <definedName name="MAJ_CON_EQP">#REF!</definedName>
    <definedName name="MG_A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_xlnm.Print_Area" localSheetId="0">'SR-IP'!$A$1:$I$68</definedName>
    <definedName name="_xlnm.Print_Area" localSheetId="1">'TW-IP'!$A$1:$J$42</definedName>
    <definedName name="_xlnm.Print_Area">#REF!</definedName>
    <definedName name="PRINT_AREA_MI">#REF!</definedName>
    <definedName name="_xlnm.Print_Titles" localSheetId="0">'SR-IP'!$1:$3</definedName>
    <definedName name="_xlnm.Print_Titles" localSheetId="1">'TW-IP'!$1:$1</definedName>
    <definedName name="_xlnm.Print_Titles">#REF!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SORT">#REF!</definedName>
    <definedName name="SPEC">#REF!</definedName>
    <definedName name="SPECSUMMARY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MARY">#REF!</definedName>
    <definedName name="test">#N/A</definedName>
    <definedName name="TOTAL">#N/A</definedName>
    <definedName name="usd">15000</definedName>
    <definedName name="VARIINST">#REF!</definedName>
    <definedName name="VARIPURC">#REF!</definedName>
    <definedName name="Vo">{"Book1"}</definedName>
    <definedName name="W">#REF!</definedName>
    <definedName name="X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VNGZ</author>
  </authors>
  <commentList>
    <comment ref="E13" authorId="0">
      <text>
        <r>
          <rPr>
            <b/>
            <sz val="9"/>
            <rFont val="Tahoma"/>
            <charset val="134"/>
          </rPr>
          <t>VNGZ:NCI_Motion AI</t>
        </r>
      </text>
    </comment>
    <comment ref="F29" authorId="0">
      <text>
        <r>
          <rPr>
            <b/>
            <sz val="9"/>
            <rFont val="Tahoma"/>
            <charset val="134"/>
          </rPr>
          <t>VNGZ: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VNGZ</author>
  </authors>
  <commentList>
    <comment ref="N45" authorId="0">
      <text>
        <r>
          <rPr>
            <b/>
            <sz val="9"/>
            <rFont val="Tahoma"/>
            <charset val="134"/>
          </rPr>
          <t>VNGZ:</t>
        </r>
        <r>
          <rPr>
            <sz val="9"/>
            <rFont val="Tahoma"/>
            <charset val="134"/>
          </rPr>
          <t xml:space="preserve">
每一个Cage 条码需要跟Allpart 绑定OK 后放到Tray盘，上料口扫描Allpart</t>
        </r>
      </text>
    </comment>
  </commentList>
</comments>
</file>

<file path=xl/comments3.xml><?xml version="1.0" encoding="utf-8"?>
<comments xmlns="http://schemas.openxmlformats.org/spreadsheetml/2006/main">
  <authors>
    <author>VNGZ</author>
  </authors>
  <commentList>
    <comment ref="F15" authorId="0">
      <text>
        <r>
          <rPr>
            <b/>
            <sz val="9"/>
            <rFont val="Tahoma"/>
            <charset val="134"/>
          </rPr>
          <t>VNGZ:NCI_Motion AI</t>
        </r>
      </text>
    </comment>
  </commentList>
</comments>
</file>

<file path=xl/sharedStrings.xml><?xml version="1.0" encoding="utf-8"?>
<sst xmlns="http://schemas.openxmlformats.org/spreadsheetml/2006/main" count="2115" uniqueCount="1309">
  <si>
    <t>No.</t>
  </si>
  <si>
    <t xml:space="preserve">Function
/Process
/Area </t>
  </si>
  <si>
    <t>设备/设施名称</t>
  </si>
  <si>
    <t>SFC STATION</t>
  </si>
  <si>
    <t>GROUP_NAME</t>
  </si>
  <si>
    <t>PC_TEST</t>
  </si>
  <si>
    <t>MAC</t>
  </si>
  <si>
    <t>IP</t>
  </si>
  <si>
    <t>SWB Automation</t>
  </si>
  <si>
    <t>Auto</t>
  </si>
  <si>
    <t>S1-1-检测上料&amp;贴标</t>
  </si>
  <si>
    <t>AOI 1</t>
  </si>
  <si>
    <t>SR1-S1-1</t>
  </si>
  <si>
    <t>6C-B3-11-C3-8B-30</t>
  </si>
  <si>
    <t>192.168.40.4</t>
  </si>
  <si>
    <t>192.168.40.1</t>
  </si>
  <si>
    <t>S1-2-组装加强板</t>
  </si>
  <si>
    <t>PRESS_FIT</t>
  </si>
  <si>
    <t>SR1-S1-2</t>
  </si>
  <si>
    <t>6C-B3-11-C3-78-EF</t>
  </si>
  <si>
    <t>192.168.40.5</t>
  </si>
  <si>
    <t>S1-3-1-组装OSFP Cage</t>
  </si>
  <si>
    <t>SR1-S1-3-1</t>
  </si>
  <si>
    <t>6C-B3-11-BF-77-E7</t>
  </si>
  <si>
    <t>192.168.40.6</t>
  </si>
  <si>
    <t>S1-3-2-组装OSFP Cage</t>
  </si>
  <si>
    <t>SR1-S1-3-2</t>
  </si>
  <si>
    <t>B0-82-E2-9E-4E-CB</t>
  </si>
  <si>
    <t>192.168.40.7</t>
  </si>
  <si>
    <t>S1-4:压合机</t>
  </si>
  <si>
    <t>SR1-S1-4</t>
  </si>
  <si>
    <t>192.168.40.8</t>
  </si>
  <si>
    <t>S1-5-检测&amp;翻转换载具</t>
  </si>
  <si>
    <t>AOI 2</t>
  </si>
  <si>
    <t>SR1-S1-5</t>
  </si>
  <si>
    <t>B0-82-E2-9E-4E-E5</t>
  </si>
  <si>
    <t>192.168.40.9</t>
  </si>
  <si>
    <t>S1-6-1-组装OSFP Cage</t>
  </si>
  <si>
    <t>PRESS_FIT 1</t>
  </si>
  <si>
    <t>SR1-S1-6-1</t>
  </si>
  <si>
    <t>B0-82-E2-9E-50-D3</t>
  </si>
  <si>
    <t>192.168.40.10</t>
  </si>
  <si>
    <t>S1-6-2-组装OSFP Cage</t>
  </si>
  <si>
    <t>SR1-S1-6-2</t>
  </si>
  <si>
    <t>B0-82-E2-9E-50-5B</t>
  </si>
  <si>
    <t>192.168.40.11</t>
  </si>
  <si>
    <t>S1-7-组装QSFP Cage</t>
  </si>
  <si>
    <t>SR1-S1-7</t>
  </si>
  <si>
    <t>6C-B3-11-C3-79-39</t>
  </si>
  <si>
    <t>192.168.40.12</t>
  </si>
  <si>
    <t>S1-8:压合机</t>
  </si>
  <si>
    <t>SR1-S1-8</t>
  </si>
  <si>
    <t>192.168.40.13</t>
  </si>
  <si>
    <t>S1-9-1-拆除工具</t>
  </si>
  <si>
    <t>AOI 3</t>
  </si>
  <si>
    <t>SR1-S1-9-1</t>
  </si>
  <si>
    <t>6C-B3-11-BF-76-C6</t>
  </si>
  <si>
    <t>192.168.40.14</t>
  </si>
  <si>
    <t>S1-9-2-拆除工具</t>
  </si>
  <si>
    <t>SR1-S1-9-2</t>
  </si>
  <si>
    <t>6C-B3-11-C3-81-74</t>
  </si>
  <si>
    <t>192.168.40.15</t>
  </si>
  <si>
    <t>S1-10-检测&amp;下料</t>
  </si>
  <si>
    <t>SR1-S1-10</t>
  </si>
  <si>
    <t>6C-B3-11-BF-77-3D</t>
  </si>
  <si>
    <t>192.168.40.16</t>
  </si>
  <si>
    <t>ICT/ASSY TIMMING</t>
  </si>
  <si>
    <t>S1-12-检测&amp;上料</t>
  </si>
  <si>
    <t>AOI</t>
  </si>
  <si>
    <t>SR1-S1-12</t>
  </si>
  <si>
    <t>6C-B3-11-BF-77-43</t>
  </si>
  <si>
    <t>192.168.40.17</t>
  </si>
  <si>
    <t>S1-13-加强螺丝&amp;定位pin锁附</t>
  </si>
  <si>
    <t>ASSY_SWB_WCK_B</t>
  </si>
  <si>
    <t>SR1-S1-13</t>
  </si>
  <si>
    <t>B0-82-E2-9E-4E-9C</t>
  </si>
  <si>
    <t>192.168.40.18</t>
  </si>
  <si>
    <t>S1-14-BOT水冷组件组装</t>
  </si>
  <si>
    <t>SR1-S1-14</t>
  </si>
  <si>
    <t>6C-B3-11-C3-81-E1</t>
  </si>
  <si>
    <t>192.168.40.19</t>
  </si>
  <si>
    <t>S1-15-1-BOT水冷组件拆除螺丝</t>
  </si>
  <si>
    <t>SR1-S1-15-1</t>
  </si>
  <si>
    <t>B0-82-E2-9E-4E-8B</t>
  </si>
  <si>
    <t>192.168.40.20</t>
  </si>
  <si>
    <t>S1-15-2-BOT水冷组件拆除螺丝&amp;支架</t>
  </si>
  <si>
    <t>SR1-S1-15-2</t>
  </si>
  <si>
    <t>88-88-88-88-87-88</t>
  </si>
  <si>
    <t>192.168.40.21</t>
  </si>
  <si>
    <t>S1-16-1&amp;S1-16-4-进出料变轨</t>
  </si>
  <si>
    <t>SR1-S1-16</t>
  </si>
  <si>
    <t>192.168.40.22</t>
  </si>
  <si>
    <t>S1-16-2-双轨保压锁附螺丝</t>
  </si>
  <si>
    <t>SR1-S1-16-2</t>
  </si>
  <si>
    <t>6C-B3-11-C3-87-D2</t>
  </si>
  <si>
    <t>192.168.40.23</t>
  </si>
  <si>
    <t>Manual</t>
  </si>
  <si>
    <t>S1-17-1&amp;S1-17-2&amp;S1-23-1&amp; S1-23-2
&amp;S1-26-1&amp;S1-26-2-人工作业流道</t>
  </si>
  <si>
    <t>SR1-S1-</t>
  </si>
  <si>
    <t>192.168.40.24</t>
  </si>
  <si>
    <t>S1-18-检测&amp;翻转换载具</t>
  </si>
  <si>
    <t>SR1-S1-18</t>
  </si>
  <si>
    <t>6C-B3-11-C3-81-78</t>
  </si>
  <si>
    <t>192.168.40.25</t>
  </si>
  <si>
    <t>S1-19-组装导流槽&amp;定位pin锁附</t>
  </si>
  <si>
    <t>ASSY_SWB_WCK_T</t>
  </si>
  <si>
    <t>SR1-S1-19</t>
  </si>
  <si>
    <t>6C-B3-11-C3-81-80</t>
  </si>
  <si>
    <t>192.168.40.26</t>
  </si>
  <si>
    <t>S1-20-TOP水冷组件组装</t>
  </si>
  <si>
    <t>SR1-S1-20</t>
  </si>
  <si>
    <t>6C-B3-11-BF-77-41</t>
  </si>
  <si>
    <t>192.168.40.27</t>
  </si>
  <si>
    <t>S1-21-1-TOP水冷组件拆除螺丝</t>
  </si>
  <si>
    <t>SR1-S1-21-1</t>
  </si>
  <si>
    <t>B0-82-E2-9E-51-A5</t>
  </si>
  <si>
    <t>192.168.40.28</t>
  </si>
  <si>
    <t>S1-21-2-TOP水冷组件拆除螺丝&amp;支架</t>
  </si>
  <si>
    <t>SR1-S1-21-2</t>
  </si>
  <si>
    <t>6C-B3-11-C3-79-52</t>
  </si>
  <si>
    <t>192.168.40.29</t>
  </si>
  <si>
    <t>S1-22-螺丝锁附及清洁PCBA</t>
  </si>
  <si>
    <t>SR1-S1-22</t>
  </si>
  <si>
    <t>6C-B3-11-BD-78-28</t>
  </si>
  <si>
    <t>192.168.40.30</t>
  </si>
  <si>
    <t>S1-24-组装导线槽&amp;支撑件</t>
  </si>
  <si>
    <t xml:space="preserve">	ASSY_ASIC_WCK</t>
  </si>
  <si>
    <t>SR1-S1-24</t>
  </si>
  <si>
    <t>B0-82-E2-9E-4F-F5</t>
  </si>
  <si>
    <t>192.168.40.36</t>
  </si>
  <si>
    <t>192.168.40.33</t>
  </si>
  <si>
    <t>S1-25-1-组装ASIC组件</t>
  </si>
  <si>
    <t>SR1-S1-25-1</t>
  </si>
  <si>
    <t>B0-82-E2-60-14-B3</t>
  </si>
  <si>
    <t>192.168.40.37</t>
  </si>
  <si>
    <t>S1-25-2-组装ASIC组件</t>
  </si>
  <si>
    <t>SR1-S1-25-2</t>
  </si>
  <si>
    <t>6C-B3-11-C3-79-75</t>
  </si>
  <si>
    <t>192.168.40.38</t>
  </si>
  <si>
    <t>S1-27-AOI下料机</t>
  </si>
  <si>
    <t>SR1-S1-27</t>
  </si>
  <si>
    <t>B0-82-E2-9E-4F-33</t>
  </si>
  <si>
    <t>192.168.40.39</t>
  </si>
  <si>
    <t>OSFP Automation</t>
  </si>
  <si>
    <t>S2-1：PCB 上料机+AOI</t>
  </si>
  <si>
    <t xml:space="preserve">AOI </t>
  </si>
  <si>
    <t>SR1-S2-1</t>
  </si>
  <si>
    <t>B0-82-E2-9E-4F-36</t>
  </si>
  <si>
    <t>192.168.40.40</t>
  </si>
  <si>
    <t>S2-2-1：螺母+PCB 组装机</t>
  </si>
  <si>
    <t>ASSY</t>
  </si>
  <si>
    <t>SR1-S2-2-1</t>
  </si>
  <si>
    <t>B0-82-E2-9E-51-3E</t>
  </si>
  <si>
    <t>192.168.40.41</t>
  </si>
  <si>
    <t>S2-2-2：螺柱+PCB 组装机</t>
  </si>
  <si>
    <t>SR1-S2-2-2</t>
  </si>
  <si>
    <t>30-C5-99-10-49-112</t>
  </si>
  <si>
    <t>192.168.40.42</t>
  </si>
  <si>
    <t>S2-3：塑料盖板组装机</t>
  </si>
  <si>
    <t>SR1-S2-3</t>
  </si>
  <si>
    <t>B0-82-E2-9E-4F-F2</t>
  </si>
  <si>
    <t>192.168.40.43</t>
  </si>
  <si>
    <t>S2-4：液冷板组装机</t>
  </si>
  <si>
    <t>SR1-S2-4</t>
  </si>
  <si>
    <t>B0-82-E2-9E-50-42</t>
  </si>
  <si>
    <t>192.168.40.44</t>
  </si>
  <si>
    <t>S2-5-1：Cage &amp; 工具组装机</t>
  </si>
  <si>
    <t>SR1-S2-5-1</t>
  </si>
  <si>
    <t>B0-82-E2-9E-4E-74</t>
  </si>
  <si>
    <t>192.168.40.45</t>
  </si>
  <si>
    <t>S2-5-2：Cage &amp; 工具组装机</t>
  </si>
  <si>
    <t>SR1-S2-5-2</t>
  </si>
  <si>
    <t>B0-82-E2-9E-50-C8</t>
  </si>
  <si>
    <t>192.168.40.46</t>
  </si>
  <si>
    <t>S2-6： 压合机</t>
  </si>
  <si>
    <t>SR1-S2-6</t>
  </si>
  <si>
    <t>192.168.40.47</t>
  </si>
  <si>
    <t>S2-7：自动翻转&amp;换载具+AOI检测</t>
  </si>
  <si>
    <t>SR1-S2-7</t>
  </si>
  <si>
    <t>6C-B3-11-C3-81-5C</t>
  </si>
  <si>
    <t>192.168.40.48</t>
  </si>
  <si>
    <t>S2-8：塑料盖板组装机</t>
  </si>
  <si>
    <t>ASSY1</t>
  </si>
  <si>
    <t>SR1-S2-8</t>
  </si>
  <si>
    <t>B0-82-E2-A4-04-29</t>
  </si>
  <si>
    <t>192.168.40.49</t>
  </si>
  <si>
    <t>S2-9-1：Cage &amp; 工具组装机</t>
  </si>
  <si>
    <t>PRESS_FIT1</t>
  </si>
  <si>
    <t>SR1-S2-9-1</t>
  </si>
  <si>
    <t>B0-82-E2-9E-51-70</t>
  </si>
  <si>
    <t>192.168.40.50</t>
  </si>
  <si>
    <t>S2-9-2：Cage &amp; 工具组装机</t>
  </si>
  <si>
    <t>SR1-S2-9-2</t>
  </si>
  <si>
    <t>B0-82-E2-9E-4E-96</t>
  </si>
  <si>
    <t>192.168.40.51</t>
  </si>
  <si>
    <t>S2-10： 压合机</t>
  </si>
  <si>
    <t>SR1-S2-10</t>
  </si>
  <si>
    <t>192.168.40.52</t>
  </si>
  <si>
    <t>S2-11-1：工具拆卸机</t>
  </si>
  <si>
    <t>SR1-S2-11-1</t>
  </si>
  <si>
    <t>B0-82-E2-9E-51-72</t>
  </si>
  <si>
    <t>192.168.40.53</t>
  </si>
  <si>
    <t>S2-11-2：工具拆卸机</t>
  </si>
  <si>
    <t>SR1-S2-11-2</t>
  </si>
  <si>
    <t>B0-82-E2-9E-50-6E</t>
  </si>
  <si>
    <t>192.168.40.54</t>
  </si>
  <si>
    <t>S2-12：自动翻转&amp;换载具+AOI检测</t>
  </si>
  <si>
    <t>SR1-S2-12</t>
  </si>
  <si>
    <t>B0-82-E2-9E-4E-D6</t>
  </si>
  <si>
    <t>192.168.40.55</t>
  </si>
  <si>
    <t>S2-13：传送机</t>
  </si>
  <si>
    <t>X_RAY5D_PF</t>
  </si>
  <si>
    <t>SR1-S2-13</t>
  </si>
  <si>
    <t>192.168.40.56</t>
  </si>
  <si>
    <t>S2-14-1 &amp; S2-14-2: OP组装IO board</t>
  </si>
  <si>
    <t>ASSY IO</t>
  </si>
  <si>
    <t>SR1-S2-</t>
  </si>
  <si>
    <t>192.168.40.57</t>
  </si>
  <si>
    <t>S2-15: 组装WCK(BOT ) + 拆6pcs 螺丝</t>
  </si>
  <si>
    <t xml:space="preserve">	ASSY_OSFP_WCK_B</t>
  </si>
  <si>
    <t>SR1-S2-15</t>
  </si>
  <si>
    <t>6C-B3-11-C3-89-90</t>
  </si>
  <si>
    <t>192.168.40.58</t>
  </si>
  <si>
    <t>S2-16-1: 拆WCK(BOT) 17pcs螺丝</t>
  </si>
  <si>
    <t>SR1-S2-16-1</t>
  </si>
  <si>
    <t>30-C5-99-1D-48-FA</t>
  </si>
  <si>
    <t>192.168.40.59</t>
  </si>
  <si>
    <t>S2-16-2: 拆WCK(BOT) 17pcs螺丝+拆支架</t>
  </si>
  <si>
    <t>SR1-S2-16-2</t>
  </si>
  <si>
    <t>6C-B3-11-C3-79-7A</t>
  </si>
  <si>
    <t>192.168.40.60</t>
  </si>
  <si>
    <t>S2-17-1&amp;3: 传输机</t>
  </si>
  <si>
    <t>SR1-S2-17</t>
  </si>
  <si>
    <t>192.168.40.61</t>
  </si>
  <si>
    <t>S2-17-2: 保压机+锁9pcs螺丝</t>
  </si>
  <si>
    <t>SR1-S2-17-2</t>
  </si>
  <si>
    <t>30-C5-99-1D-48-F7</t>
  </si>
  <si>
    <t>192.168.40.62</t>
  </si>
  <si>
    <t>S2-17-4: 天桥流水线</t>
  </si>
  <si>
    <t>SR1-S2-17-4</t>
  </si>
  <si>
    <t>192.168.40.68</t>
  </si>
  <si>
    <t>192.168.40.65</t>
  </si>
  <si>
    <t>S2-18-1 &amp; S2-18-2 : OP组装clip</t>
  </si>
  <si>
    <t>SR1-S2-18</t>
  </si>
  <si>
    <t>192.168.40.69</t>
  </si>
  <si>
    <t>S2-19: AOI + 翻转 + 换载具</t>
  </si>
  <si>
    <t>SR1-S2-19</t>
  </si>
  <si>
    <t>B0-82-E2-9E-4F-D0</t>
  </si>
  <si>
    <t>192.168.40.70</t>
  </si>
  <si>
    <t>S2-20: 组装WCK(TOP ) + 拆6pcs 螺丝</t>
  </si>
  <si>
    <t>ASSY_OSFP_WCK_T</t>
  </si>
  <si>
    <t>SR1-S2-20</t>
  </si>
  <si>
    <t>6C-B3-11-C3-8C-B0</t>
  </si>
  <si>
    <t>192.168.40.71</t>
  </si>
  <si>
    <t>S2-21-1: 拆WCK(TOP) 17pcs螺丝</t>
  </si>
  <si>
    <t>SR1-S2-21-1</t>
  </si>
  <si>
    <t>30-C5-99-1D-49-70</t>
  </si>
  <si>
    <t>192.168.40.72</t>
  </si>
  <si>
    <t>S2-21-2: 拆WCK(TOP) 17pcs螺丝+拆支架</t>
  </si>
  <si>
    <t>SR1-S2-21-2</t>
  </si>
  <si>
    <t>6C-B3-11-C3-7E-A4</t>
  </si>
  <si>
    <t>192.168.40.73</t>
  </si>
  <si>
    <t>S2-22-1&amp;3: 传输机</t>
  </si>
  <si>
    <t>SR1-S2-22</t>
  </si>
  <si>
    <t>192.168.40.74</t>
  </si>
  <si>
    <t>S2-22-2: 保压机+锁9pcs螺丝</t>
  </si>
  <si>
    <t>SR1-S2-22-2</t>
  </si>
  <si>
    <t>B0-82-E2-9E-51-6A</t>
  </si>
  <si>
    <t>192.168.40.75</t>
  </si>
  <si>
    <t>S2-23-1 &amp; S2-23-2 : OP组装clip</t>
  </si>
  <si>
    <t>SR1-S2-23</t>
  </si>
  <si>
    <t>192.168.40.76</t>
  </si>
  <si>
    <t>S2-24: AOI+下料</t>
  </si>
  <si>
    <t>SR1-S2-24</t>
  </si>
  <si>
    <t>B0-82-E2-9E-51-CF</t>
  </si>
  <si>
    <t>192.168.40.77</t>
  </si>
  <si>
    <t>Project</t>
  </si>
  <si>
    <t>设备名称（中文）</t>
  </si>
  <si>
    <t>Machine Name</t>
  </si>
  <si>
    <t>PN</t>
  </si>
  <si>
    <t>Front Panel Sub Line</t>
  </si>
  <si>
    <t>S3-1</t>
  </si>
  <si>
    <t>前面板上料及贴标流水线</t>
  </si>
  <si>
    <t>Front Panel Loading &amp; Labeling Conveyor</t>
  </si>
  <si>
    <t>ASSY_FRONT_PANEL</t>
  </si>
  <si>
    <t>192.168.40.78</t>
  </si>
  <si>
    <t>642-9T783-0160-000</t>
  </si>
  <si>
    <t>MO 5</t>
  </si>
  <si>
    <t>CMC</t>
  </si>
  <si>
    <t>S3-2</t>
  </si>
  <si>
    <t>LED分隔板组装机</t>
  </si>
  <si>
    <t>LED Dividers Assy Machine</t>
  </si>
  <si>
    <t>ASSY_LED</t>
  </si>
  <si>
    <t>CC-82-7F-C7-A4-D3</t>
  </si>
  <si>
    <t>192.168.40.79</t>
  </si>
  <si>
    <t>S3-3</t>
  </si>
  <si>
    <t>LED主板组装及螺丝锁附机</t>
  </si>
  <si>
    <t>LED Board Assy &amp; Screw Locking Machine</t>
  </si>
  <si>
    <t>CC-82-7F-C7-A5-4F</t>
  </si>
  <si>
    <t>192.168.40.80</t>
  </si>
  <si>
    <t>S</t>
  </si>
  <si>
    <t>S3-4</t>
  </si>
  <si>
    <t>线束插接及产品下料流水线</t>
  </si>
  <si>
    <t>Harness Assy and Unloads Conveyor</t>
  </si>
  <si>
    <t>ASSY_HARNESS</t>
  </si>
  <si>
    <t>192.168.40.81</t>
  </si>
  <si>
    <t>Front Section Main Line</t>
  </si>
  <si>
    <t>S4-1</t>
  </si>
  <si>
    <t>底框上料及泄漏板组装流水线</t>
  </si>
  <si>
    <t>Front Panel Loading &amp; FPCB Assy Conveyor</t>
  </si>
  <si>
    <t>ASSY_FPCB</t>
  </si>
  <si>
    <t>192.168.40.82</t>
  </si>
  <si>
    <t>670-9N62F-0160-200</t>
  </si>
  <si>
    <t>MO 6</t>
  </si>
  <si>
    <t>人工</t>
  </si>
  <si>
    <t>S4-2</t>
  </si>
  <si>
    <t>SWB主板组装机</t>
  </si>
  <si>
    <t>SWB SA Assembly Machine</t>
  </si>
  <si>
    <t>ASSY_SA_SWB</t>
  </si>
  <si>
    <t>6C-B3-11-BD-6F-11</t>
  </si>
  <si>
    <t>192.168.40.83</t>
  </si>
  <si>
    <t>S4-3</t>
  </si>
  <si>
    <t>SWB主板及底框螺丝锁附机</t>
  </si>
  <si>
    <t>Fasten SWB SA to Board Pan Machine</t>
  </si>
  <si>
    <t>6C-B3-11-BD-72-7D</t>
  </si>
  <si>
    <t>192.168.40.84</t>
  </si>
  <si>
    <t>S4-4</t>
  </si>
  <si>
    <t>汇流组件及底框螺丝锁附机</t>
  </si>
  <si>
    <t>Fasten Mainfold to Board Pan Machine</t>
  </si>
  <si>
    <t>6C-B3-11-BD-6A-E3</t>
  </si>
  <si>
    <t>192.168.40.85</t>
  </si>
  <si>
    <t>S4-5</t>
  </si>
  <si>
    <t>导向针及螺柱锁附机</t>
  </si>
  <si>
    <t>Fasten Guide Pin &amp; Standoff Machine</t>
  </si>
  <si>
    <t>6C-B3-11-BD-6F-17</t>
  </si>
  <si>
    <t>192.168.40.86</t>
  </si>
  <si>
    <t>S4-6</t>
  </si>
  <si>
    <t>拉片及拉片支架组装流水线</t>
  </si>
  <si>
    <t>Pull Tab &amp; Support Assy Conveyor</t>
  </si>
  <si>
    <t>OP Manual</t>
  </si>
  <si>
    <t>192.168.40.87</t>
  </si>
  <si>
    <t>S4-7</t>
  </si>
  <si>
    <t>OSFP AND IO SA组装流水线</t>
  </si>
  <si>
    <t>OSFP AND IO SA Assy Conveyor</t>
  </si>
  <si>
    <t>ASSY_SA_OSFP</t>
  </si>
  <si>
    <t>192.168.40.88</t>
  </si>
  <si>
    <t>S4-8</t>
  </si>
  <si>
    <t>NCI连接器组装流水线</t>
  </si>
  <si>
    <t>NCI Connector Assy Conveyor</t>
  </si>
  <si>
    <t>ASSY_NCI_AI</t>
  </si>
  <si>
    <t>192.168.40.89</t>
  </si>
  <si>
    <t>S4-9</t>
  </si>
  <si>
    <t>前面板组装流水线</t>
  </si>
  <si>
    <t>Front Panel Assy Conveyor</t>
  </si>
  <si>
    <t>ASSY_LED_CHASSIS</t>
  </si>
  <si>
    <t>192.168.40.90</t>
  </si>
  <si>
    <t>S4-10</t>
  </si>
  <si>
    <t>水管接头插装及线束插接流水线</t>
  </si>
  <si>
    <t>Water Pipe Connector&amp;Harness Conveyor</t>
  </si>
  <si>
    <t>192.168.40.91</t>
  </si>
  <si>
    <t>S4-11</t>
  </si>
  <si>
    <t>支架组装机</t>
  </si>
  <si>
    <t>Bracket Assy Machine</t>
  </si>
  <si>
    <t>ASSY_ORGANIZER</t>
  </si>
  <si>
    <t>6C-B3-11-BD-6A-F0</t>
  </si>
  <si>
    <t>192.168.40.92</t>
  </si>
  <si>
    <t>S4-12</t>
  </si>
  <si>
    <t>下料机</t>
  </si>
  <si>
    <t>Unloading Machine</t>
  </si>
  <si>
    <t>6C-B3-11-BD-6B-26</t>
  </si>
  <si>
    <t>192.168.40.93</t>
  </si>
  <si>
    <t>S4-13</t>
  </si>
  <si>
    <t>Front Section&amp;MGX底框组装机</t>
  </si>
  <si>
    <t>Front Section and MGX Base Assy Machine</t>
  </si>
  <si>
    <t>CC-82-7F-D8-6A-24</t>
  </si>
  <si>
    <t>192.168.40.94</t>
  </si>
  <si>
    <t>S4-14</t>
  </si>
  <si>
    <t>滚筒流水线</t>
  </si>
  <si>
    <t>OSFP and IO SA Transfer Conveyor</t>
  </si>
  <si>
    <t>192.168.40.100</t>
  </si>
  <si>
    <t>192.168.40.97</t>
  </si>
  <si>
    <t>Rear Section-MGMT Sub Line</t>
  </si>
  <si>
    <t>S1-1</t>
  </si>
  <si>
    <t>MGMT-WCS上料流水线</t>
  </si>
  <si>
    <t>WCS Loading Conveyor</t>
  </si>
  <si>
    <t>192.168.40.101</t>
  </si>
  <si>
    <t>673-9T7130150200_1</t>
  </si>
  <si>
    <t>M0 7</t>
  </si>
  <si>
    <t>S1-2</t>
  </si>
  <si>
    <t>MGMT-主板组装机</t>
  </si>
  <si>
    <t>MGMT Board Assy Machine</t>
  </si>
  <si>
    <t xml:space="preserve">ASSY </t>
  </si>
  <si>
    <t>CC-82-7F-D3-03-71</t>
  </si>
  <si>
    <t>192.168.40.102</t>
  </si>
  <si>
    <t>S1-3</t>
  </si>
  <si>
    <t>MGMT-保压及锁螺丝机</t>
  </si>
  <si>
    <t>Pressure-holding &amp; Screw Locking Machine</t>
  </si>
  <si>
    <t>6C-B3-11-BD-75-00</t>
  </si>
  <si>
    <t>192.168.40.103</t>
  </si>
  <si>
    <t>S1-4</t>
  </si>
  <si>
    <t>MGMT-贴标及加强板组装机</t>
  </si>
  <si>
    <t>Stiffener Assy &amp; Labeling Machine</t>
  </si>
  <si>
    <t>6C-B3-11-BD-6E-B4</t>
  </si>
  <si>
    <t>192.168.40.104</t>
  </si>
  <si>
    <t>S1-5</t>
  </si>
  <si>
    <t>MGMT-AOI检测及下料机</t>
  </si>
  <si>
    <t>AOI Inspection &amp; Unloading Machine</t>
  </si>
  <si>
    <t>6C-B3-11-BD-6F-27</t>
  </si>
  <si>
    <t>192.168.40.105</t>
  </si>
  <si>
    <t>Rear Section Main Line</t>
  </si>
  <si>
    <t>S2-1</t>
  </si>
  <si>
    <t>RS-Chassis上料机</t>
  </si>
  <si>
    <t>Rear Chassis Loading Machine</t>
  </si>
  <si>
    <t>6C-B3-11-BD-74-E8</t>
  </si>
  <si>
    <t>192.168.40.106</t>
  </si>
  <si>
    <t>670-9N62F0150300_1</t>
  </si>
  <si>
    <t>MO8</t>
  </si>
  <si>
    <t>S2-2</t>
  </si>
  <si>
    <t>RS-FPCB组装机</t>
  </si>
  <si>
    <t>FLEX PCB Assy Machine</t>
  </si>
  <si>
    <t>6C-B3-11-BD-6B-0B</t>
  </si>
  <si>
    <t>192.168.40.107</t>
  </si>
  <si>
    <t>S2-3</t>
  </si>
  <si>
    <t>RS-贴标机A</t>
  </si>
  <si>
    <t>Label Pasting Machine#3</t>
  </si>
  <si>
    <t>6C-B3-11-BD-6F-94</t>
  </si>
  <si>
    <t>192.168.40.108</t>
  </si>
  <si>
    <t>S2-4</t>
  </si>
  <si>
    <t>RS-PDB液体系统组装机</t>
  </si>
  <si>
    <t>Liquid system Assy Machine</t>
  </si>
  <si>
    <r>
      <rPr>
        <sz val="14"/>
        <color theme="1"/>
        <rFont val="Arial"/>
        <charset val="134"/>
      </rPr>
      <t xml:space="preserve">ASSY_PDB
</t>
    </r>
    <r>
      <rPr>
        <sz val="14"/>
        <color rgb="FFFF0000"/>
        <rFont val="Arial"/>
        <charset val="134"/>
      </rPr>
      <t>673-9T402-0310300N</t>
    </r>
  </si>
  <si>
    <t>6C-B3-11-BD-6F-9C</t>
  </si>
  <si>
    <t>192.168.40.109</t>
  </si>
  <si>
    <t>S2-5</t>
  </si>
  <si>
    <t>RS-PDB冷板上料流水线</t>
  </si>
  <si>
    <t>PDB Cold Plate Loading Conveyor</t>
  </si>
  <si>
    <t>192.168.40.110</t>
  </si>
  <si>
    <t>CHUNG VOI MAY 192.168.40.111</t>
  </si>
  <si>
    <t>S2-6</t>
  </si>
  <si>
    <t>RS-PDB主板与系统板组装机</t>
  </si>
  <si>
    <t>PDB Board and Liquid system Assy Machine</t>
  </si>
  <si>
    <t>6C-B3-11-BD-6A-EC</t>
  </si>
  <si>
    <t>192.168.40.111</t>
  </si>
  <si>
    <t>S2-7</t>
  </si>
  <si>
    <t>RS-贴标机B</t>
  </si>
  <si>
    <t>Label Pasting Machine#6</t>
  </si>
  <si>
    <t>6C-B3-11-BD-6F-29</t>
  </si>
  <si>
    <t>192.168.40.112</t>
  </si>
  <si>
    <t>S2-8</t>
  </si>
  <si>
    <t>RS-MGMT子组件组装机</t>
  </si>
  <si>
    <t>MGMT Sub Assy Machine</t>
  </si>
  <si>
    <t>ASSY_MGMT</t>
  </si>
  <si>
    <t>CC-82-7F-C7-A6-D7</t>
  </si>
  <si>
    <t>192.168.40.113</t>
  </si>
  <si>
    <t>S2-9</t>
  </si>
  <si>
    <t>RS-BMC冷板上料机</t>
  </si>
  <si>
    <t>BMC Cold plate Loading Machine</t>
  </si>
  <si>
    <r>
      <rPr>
        <sz val="14"/>
        <color theme="1"/>
        <rFont val="Arial"/>
        <charset val="134"/>
      </rPr>
      <t xml:space="preserve">ASSY_BMC
</t>
    </r>
    <r>
      <rPr>
        <sz val="14"/>
        <color rgb="FFFF0000"/>
        <rFont val="Arial"/>
        <charset val="134"/>
      </rPr>
      <t>642-23809-1650000N</t>
    </r>
  </si>
  <si>
    <t>CC-82-7F-C7-A4-CF</t>
  </si>
  <si>
    <t>192.168.40.114</t>
  </si>
  <si>
    <t>S2-10</t>
  </si>
  <si>
    <t>RS-BMC子组件组装机</t>
  </si>
  <si>
    <t>BMC SA and MGMT Assy Machine</t>
  </si>
  <si>
    <t>CC-82-7F-D3-04-04</t>
  </si>
  <si>
    <t>192.168.40.115</t>
  </si>
  <si>
    <t>S2-11</t>
  </si>
  <si>
    <t>RS-SSD上下冷板上料机</t>
  </si>
  <si>
    <t>SSD Bottom CP&amp;TOP CP Loading Machine</t>
  </si>
  <si>
    <t>ASSY_SSD
673-331-0070-000N</t>
  </si>
  <si>
    <t>CC-82-7F-C7-AC-50</t>
  </si>
  <si>
    <t>192.168.40.116</t>
  </si>
  <si>
    <t>S2-12</t>
  </si>
  <si>
    <t>RS-Thermal Pad贴装机</t>
  </si>
  <si>
    <t>Thermal Pad Attaching Machine</t>
  </si>
  <si>
    <t>6C-B3-11-BD-6F-8E</t>
  </si>
  <si>
    <t>192.168.40.117</t>
  </si>
  <si>
    <t>S2-13</t>
  </si>
  <si>
    <t>RS-SSD主板与下冷板组装机</t>
  </si>
  <si>
    <t>SSD Card &amp; Bottom CP Assy Machine</t>
  </si>
  <si>
    <t>6C-B3-11-BD-6B-11</t>
  </si>
  <si>
    <t>192.168.40.118</t>
  </si>
  <si>
    <t>S2-14</t>
  </si>
  <si>
    <t>RS-上冷板组装机</t>
  </si>
  <si>
    <t>TOP CP Assy Machine</t>
  </si>
  <si>
    <t>CC-82-7F-C7-A4-E8</t>
  </si>
  <si>
    <t>192.168.40.119</t>
  </si>
  <si>
    <t>S2-15</t>
  </si>
  <si>
    <t>RS-SSD子组件组装机</t>
  </si>
  <si>
    <t>SSD SA and MGMT Assy Machine</t>
  </si>
  <si>
    <t>6C-B3-11-BD-6B-0E</t>
  </si>
  <si>
    <t>192.168.40.120</t>
  </si>
  <si>
    <t>S2-16</t>
  </si>
  <si>
    <t>连接器插入及电池&amp;TPM组装流水线</t>
  </si>
  <si>
    <t>Manual Connector, Battery,TPM Assy</t>
  </si>
  <si>
    <t>ASSY_TPM_CARD</t>
  </si>
  <si>
    <t>192.168.40.121</t>
  </si>
  <si>
    <t>S2-17</t>
  </si>
  <si>
    <t>RS-下料机</t>
  </si>
  <si>
    <t>192.168.40.122</t>
  </si>
  <si>
    <t>MANG NG-DANG BAO CUNG UNG</t>
  </si>
  <si>
    <t>F07</t>
  </si>
  <si>
    <t>Vlan 150</t>
  </si>
  <si>
    <t>N-AUTO-F07-PR-1</t>
  </si>
  <si>
    <t>192.168.40.0/27</t>
  </si>
  <si>
    <t>192.168.40.4 - 192.168.40.30</t>
  </si>
  <si>
    <t>Vlan 151</t>
  </si>
  <si>
    <t>N-AUTO-F07-PR-2</t>
  </si>
  <si>
    <t>192.168.40.32/27</t>
  </si>
  <si>
    <t>192.168.40.36 - 192.168.40.62</t>
  </si>
  <si>
    <t>Vlan 152</t>
  </si>
  <si>
    <t>N-AUTO-F07-PR-3</t>
  </si>
  <si>
    <t>192.168.40.64/27</t>
  </si>
  <si>
    <t>192.168.40.68 - 192.168.40.94</t>
  </si>
  <si>
    <t>Vlan 153</t>
  </si>
  <si>
    <t>N-AUTO-F07-PR-4</t>
  </si>
  <si>
    <t>192.168.40.96/27</t>
  </si>
  <si>
    <t>192.168.40.100 - 192.168.40.126</t>
  </si>
  <si>
    <t>Vlan 154</t>
  </si>
  <si>
    <t>N-AUTO-F07-PR-5</t>
  </si>
  <si>
    <t>192.168.40.128/27</t>
  </si>
  <si>
    <t>192.168.40.129</t>
  </si>
  <si>
    <t>192.168.40.132 - 192.168.40.158</t>
  </si>
  <si>
    <t>Vlan 155</t>
  </si>
  <si>
    <t>N-AUTO-F07-PR-6</t>
  </si>
  <si>
    <t>192.168.40.160/27</t>
  </si>
  <si>
    <t>192.168.40.161</t>
  </si>
  <si>
    <t>192.168.40.164 - 192.168.40.190</t>
  </si>
  <si>
    <t>Vlan 156</t>
  </si>
  <si>
    <t>N-AUTO-F07-PR-7</t>
  </si>
  <si>
    <t>192.168.40.192/27</t>
  </si>
  <si>
    <t>192.168.40.193</t>
  </si>
  <si>
    <t>192.168.40.196 - 192.168.40.222</t>
  </si>
  <si>
    <t>Vlan 157</t>
  </si>
  <si>
    <t>N-AUTO-F07-PR-8</t>
  </si>
  <si>
    <t>192.168.40.224/27</t>
  </si>
  <si>
    <t>192.168.40.225</t>
  </si>
  <si>
    <t>192.168.40.228 - 192.168.40.254</t>
  </si>
  <si>
    <t>Salamandra</t>
  </si>
  <si>
    <t xml:space="preserve">FG Electrical power demand for production lines </t>
  </si>
  <si>
    <t xml:space="preserve">Building: </t>
  </si>
  <si>
    <t xml:space="preserve"> </t>
  </si>
  <si>
    <t xml:space="preserve">BU: </t>
  </si>
  <si>
    <t xml:space="preserve">Building
/Floor </t>
  </si>
  <si>
    <r>
      <rPr>
        <b/>
        <sz val="11"/>
        <rFont val="Microsoft JhengHei"/>
        <charset val="134"/>
      </rPr>
      <t>设备</t>
    </r>
    <r>
      <rPr>
        <b/>
        <sz val="11"/>
        <rFont val="Arial"/>
        <charset val="134"/>
      </rPr>
      <t>/</t>
    </r>
    <r>
      <rPr>
        <b/>
        <sz val="11"/>
        <rFont val="Microsoft JhengHei"/>
        <charset val="134"/>
      </rPr>
      <t>设施名称</t>
    </r>
  </si>
  <si>
    <t xml:space="preserve">Equipment/Machine/Facility </t>
  </si>
  <si>
    <t>Network</t>
  </si>
  <si>
    <t>SFC</t>
  </si>
  <si>
    <t>SN</t>
  </si>
  <si>
    <r>
      <rPr>
        <b/>
        <sz val="11"/>
        <rFont val="Arial"/>
        <charset val="134"/>
      </rPr>
      <t xml:space="preserve">MES 
</t>
    </r>
    <r>
      <rPr>
        <b/>
        <sz val="11"/>
        <rFont val="微軟正黑體"/>
        <charset val="136"/>
      </rPr>
      <t>测试完成时间</t>
    </r>
  </si>
  <si>
    <t>Scan 产品码</t>
  </si>
  <si>
    <t>Fixtuer SN</t>
  </si>
  <si>
    <t>STATION</t>
  </si>
  <si>
    <t>当前工站使用物料</t>
  </si>
  <si>
    <t>物料料号</t>
  </si>
  <si>
    <t>MO</t>
  </si>
  <si>
    <t>F07-1F</t>
  </si>
  <si>
    <t>S1-1-Loading Inspection&amp;Labelling Machine</t>
  </si>
  <si>
    <t>Y</t>
  </si>
  <si>
    <t>Fix1/PCB
699-9N62F</t>
  </si>
  <si>
    <r>
      <rPr>
        <sz val="12"/>
        <rFont val="Arial"/>
        <charset val="134"/>
      </rPr>
      <t xml:space="preserve">MTCJ8619-001~
MTCJ8619-012
</t>
    </r>
    <r>
      <rPr>
        <sz val="12"/>
        <rFont val="Arial"/>
        <charset val="134"/>
      </rPr>
      <t xml:space="preserve">
</t>
    </r>
  </si>
  <si>
    <t>1.载具SN
2.Main board SN
3. 贴SA 673-9N62F 产品批次二维码卷料</t>
  </si>
  <si>
    <t>699-9N62F-0150-200</t>
  </si>
  <si>
    <t>MO 1</t>
  </si>
  <si>
    <t>S1-2-Stiffener Install Machine</t>
  </si>
  <si>
    <t>N</t>
  </si>
  <si>
    <t>Fix 1</t>
  </si>
  <si>
    <t>ASSY_STIFFENR</t>
  </si>
  <si>
    <t>1.Fix SN
2、Stiffener  
3、Screw  M3*10             
4、Screw  M3*8       
5、Screw  M3*12</t>
  </si>
  <si>
    <t>1.
2. SMA015977
3. SCR000888
4. SCR000889
5. SCR000564</t>
  </si>
  <si>
    <r>
      <rPr>
        <sz val="12"/>
        <color theme="1"/>
        <rFont val="Arial"/>
        <charset val="134"/>
      </rPr>
      <t>S1-3-1-</t>
    </r>
    <r>
      <rPr>
        <sz val="12"/>
        <color theme="1"/>
        <rFont val="宋体-简"/>
        <charset val="134"/>
      </rPr>
      <t>组装</t>
    </r>
    <r>
      <rPr>
        <sz val="12"/>
        <color theme="1"/>
        <rFont val="Arial"/>
        <charset val="134"/>
      </rPr>
      <t>OSFP Cage</t>
    </r>
  </si>
  <si>
    <t>S1-3-1-OSFP Cage Assembly Machine</t>
  </si>
  <si>
    <t>Fix1</t>
  </si>
  <si>
    <t>PRESS_FIT_CAGE_B</t>
  </si>
  <si>
    <t>1. Fix SN 2
2.Filler Tool 
3.CAGE 1X8 OSFP</t>
  </si>
  <si>
    <t>1.
2.CON003984</t>
  </si>
  <si>
    <r>
      <rPr>
        <sz val="12"/>
        <color theme="1"/>
        <rFont val="Arial"/>
        <charset val="134"/>
      </rPr>
      <t>S1-3-2-</t>
    </r>
    <r>
      <rPr>
        <sz val="12"/>
        <color theme="1"/>
        <rFont val="宋体-简"/>
        <charset val="134"/>
      </rPr>
      <t>组装</t>
    </r>
    <r>
      <rPr>
        <sz val="12"/>
        <color theme="1"/>
        <rFont val="Arial"/>
        <charset val="134"/>
      </rPr>
      <t>OSFP Cage</t>
    </r>
  </si>
  <si>
    <t>S1-3-2-OSFP Cage Assembly Machine</t>
  </si>
  <si>
    <r>
      <rPr>
        <sz val="10"/>
        <rFont val="Arial"/>
        <charset val="134"/>
      </rPr>
      <t>1. Fix SN 2
2.</t>
    </r>
    <r>
      <rPr>
        <sz val="10"/>
        <color rgb="FFFF0000"/>
        <rFont val="Arial"/>
        <charset val="134"/>
      </rPr>
      <t xml:space="preserve">Filler Tool </t>
    </r>
    <r>
      <rPr>
        <sz val="10"/>
        <rFont val="Arial"/>
        <charset val="134"/>
      </rPr>
      <t xml:space="preserve">
3.CAGE 1X8 OSFP</t>
    </r>
  </si>
  <si>
    <r>
      <rPr>
        <sz val="12"/>
        <color theme="1"/>
        <rFont val="Arial"/>
        <charset val="134"/>
      </rPr>
      <t>S1-4:</t>
    </r>
    <r>
      <rPr>
        <sz val="12"/>
        <color theme="1"/>
        <rFont val="Microsoft YaHei"/>
        <charset val="134"/>
      </rPr>
      <t>压合机</t>
    </r>
  </si>
  <si>
    <t>S1-4: FOR PRESSING MACHINE</t>
  </si>
  <si>
    <t xml:space="preserve">Fix SN </t>
  </si>
  <si>
    <t>S1-5-Inspection&amp;Flipping with Carrier Change Machine</t>
  </si>
  <si>
    <t>Fix 2/PCB</t>
  </si>
  <si>
    <t>Fix SN 1 + Fix SN 2</t>
  </si>
  <si>
    <r>
      <rPr>
        <sz val="12"/>
        <color theme="1"/>
        <rFont val="Arial"/>
        <charset val="134"/>
      </rPr>
      <t>S1-6-1-</t>
    </r>
    <r>
      <rPr>
        <sz val="12"/>
        <color theme="1"/>
        <rFont val="宋体-简"/>
        <charset val="134"/>
      </rPr>
      <t>组装</t>
    </r>
    <r>
      <rPr>
        <sz val="12"/>
        <color theme="1"/>
        <rFont val="Arial"/>
        <charset val="134"/>
      </rPr>
      <t>OSFP Cage</t>
    </r>
  </si>
  <si>
    <t>S1-6-1-OSFP Cage Assembly Machine</t>
  </si>
  <si>
    <t>Fix2</t>
  </si>
  <si>
    <t>MTCJ8618-001~
MTCJ8618-016</t>
  </si>
  <si>
    <t>PRESS_FIT_CAGE_T</t>
  </si>
  <si>
    <t>1.
2.
3.CON003984</t>
  </si>
  <si>
    <r>
      <rPr>
        <sz val="12"/>
        <color theme="1"/>
        <rFont val="Arial"/>
        <charset val="134"/>
      </rPr>
      <t>S1-6-2-</t>
    </r>
    <r>
      <rPr>
        <sz val="12"/>
        <color theme="1"/>
        <rFont val="宋体-简"/>
        <charset val="134"/>
      </rPr>
      <t>组装</t>
    </r>
    <r>
      <rPr>
        <sz val="12"/>
        <color theme="1"/>
        <rFont val="Arial"/>
        <charset val="134"/>
      </rPr>
      <t>OSFP Cage</t>
    </r>
  </si>
  <si>
    <t>S1-6-2-OSFP Cage Assembly Machine</t>
  </si>
  <si>
    <t>S1-7-QSFP Cage Assembly Machine</t>
  </si>
  <si>
    <t>1. Fix SN 2
2.Tool
3.QSFP 112G 1X1 CAGE</t>
  </si>
  <si>
    <t>1.
2.
3.CON004109</t>
  </si>
  <si>
    <r>
      <rPr>
        <sz val="12"/>
        <color theme="1"/>
        <rFont val="Arial"/>
        <charset val="134"/>
      </rPr>
      <t>S1-8:</t>
    </r>
    <r>
      <rPr>
        <sz val="12"/>
        <color theme="1"/>
        <rFont val="Microsoft YaHei"/>
        <charset val="134"/>
      </rPr>
      <t>压合机</t>
    </r>
  </si>
  <si>
    <t>S1-8: FOR PRESSING MACHINE</t>
  </si>
  <si>
    <r>
      <rPr>
        <sz val="12"/>
        <color theme="1"/>
        <rFont val="Arial"/>
        <charset val="134"/>
      </rPr>
      <t>S1-9-1-</t>
    </r>
    <r>
      <rPr>
        <sz val="12"/>
        <color theme="1"/>
        <rFont val="宋体-简"/>
        <charset val="134"/>
      </rPr>
      <t>拆除工具</t>
    </r>
  </si>
  <si>
    <t>S1-9-1-Filler Tooling Removal Machine</t>
  </si>
  <si>
    <t>1. Fix SN 2</t>
  </si>
  <si>
    <r>
      <rPr>
        <sz val="12"/>
        <color theme="1"/>
        <rFont val="Arial"/>
        <charset val="134"/>
      </rPr>
      <t>S1-9-2-</t>
    </r>
    <r>
      <rPr>
        <sz val="12"/>
        <color theme="1"/>
        <rFont val="宋体-简"/>
        <charset val="134"/>
      </rPr>
      <t>拆除工具</t>
    </r>
  </si>
  <si>
    <t>S1-9-2-Filler Tooling Removal Machine</t>
  </si>
  <si>
    <t>S1-10-Inspection&amp;Unloading Machine</t>
  </si>
  <si>
    <t>Fix2/PCB</t>
  </si>
  <si>
    <t>S1-11 ICT test and assy timming</t>
  </si>
  <si>
    <t>S1-12-Inspection&amp;Loading Machine</t>
  </si>
  <si>
    <t>Fix3/SA 
673-9N62F/699-9N62F</t>
  </si>
  <si>
    <t>MTCJ8620-001~
MTCJ8620-025</t>
  </si>
  <si>
    <t>1.载具3 SN
2.Main board SN
3.A 产品批次二维码卷料</t>
  </si>
  <si>
    <t>673-9N62F-0160-000</t>
  </si>
  <si>
    <t>MO 2</t>
  </si>
  <si>
    <t>S1-13-Reinforcement Screw&amp;Locating Pin Fastening Machine</t>
  </si>
  <si>
    <t>Fix3</t>
  </si>
  <si>
    <t>1.载具Fix SN 3
2.1# Screw T8-M3*8
3.2# Screw  PH1-M3*8
4.Location pin H6.5-4*11.4*M3*8</t>
  </si>
  <si>
    <t>1.
2.SCR000564N
3.SCR000706N
4.MEC034379N</t>
  </si>
  <si>
    <t>S1-14-Bottom WCK Install Machine</t>
  </si>
  <si>
    <t>1.载具Fix SN3
2.Liquid system bot
&amp; bracket &amp; screws</t>
  </si>
  <si>
    <t>1.
2.MA016412</t>
  </si>
  <si>
    <t>S1-15-1-Bottom WCK Screw Removal Machine</t>
  </si>
  <si>
    <t xml:space="preserve">1.载具Fix SN 3 </t>
  </si>
  <si>
    <t>S1-15-2-Bottom WCK Screw&amp;Bracket Removal Machine</t>
  </si>
  <si>
    <t>1.载具Fix SN 3</t>
  </si>
  <si>
    <t>S1-16-1&amp;S1-16-4-Infeed&amp;Outfeed Diverting Conveyor</t>
  </si>
  <si>
    <t>/</t>
  </si>
  <si>
    <t>S1-16-2-Dual-Lane Pressing&amp;Screw Fastening Machine</t>
  </si>
  <si>
    <t>1.载具Fix SN 3
2screw M3*22
3.screw M3*7.5</t>
  </si>
  <si>
    <t>1.
2.SCR000897N
3.SCR000362N</t>
  </si>
  <si>
    <t>S1-17-1&amp;S1-17-2&amp;S1-23-1&amp;S1-23-2&amp;S1-26-1&amp;S1-26-2-人工作业流道</t>
  </si>
  <si>
    <t>S1-17-1&amp;S1-17-2&amp;S1-23-1&amp;S1-23-2&amp;S1-26-1&amp;S1-26-2-Manual Operating Workstation</t>
  </si>
  <si>
    <t>Fix3 + 组装上的物料</t>
  </si>
  <si>
    <t>MANUAL</t>
  </si>
  <si>
    <t>S1-18-Inspection Flip and Carrier Change Machine</t>
  </si>
  <si>
    <t>Fix4/SA 
673-9N62F</t>
  </si>
  <si>
    <t>MTCJ8621-001~
MTCJ8621-033</t>
  </si>
  <si>
    <t>载具Fix SN 3 + Fix SN 4</t>
  </si>
  <si>
    <t>S1-19-Flow Channel&amp;Locating Pin Install Machine</t>
  </si>
  <si>
    <t>Fix4</t>
  </si>
  <si>
    <t>1.载具Fix SN 4
2.Drain Part Right
3.Drain Part Left
4.LCS Manifold Guide pin     
2.8*14.2*M3*8
5.1# Screw  M3*8</t>
  </si>
  <si>
    <t>1.
2.MEC034348
3.MEC034346
4.MEC034377N
5.SCR000890N</t>
  </si>
  <si>
    <t>S1-20-Top WCK Install Machine</t>
  </si>
  <si>
    <t>1.载具Fix SN 4
2.Liquid system top &amp;bracket &amp;screws</t>
  </si>
  <si>
    <t>1.
2.MA016410</t>
  </si>
  <si>
    <t>S1-21-1-Top WCK Screw Removal Machine</t>
  </si>
  <si>
    <t>1.载具Fix SN 4</t>
  </si>
  <si>
    <t>S1-21-2-Top WCK Screw&amp;Bracket Removal Machine</t>
  </si>
  <si>
    <t>S1-22-Screw Fastening&amp;PCBA Cleaning Machine</t>
  </si>
  <si>
    <t>1.载具Fix SN 4
2.1# Screw T8-M3*8</t>
  </si>
  <si>
    <t>1.
2.SCR000352N</t>
  </si>
  <si>
    <t>S1-24-Panel Cable Guide&amp;Plastic Bracket Assembly Machine</t>
  </si>
  <si>
    <t>1.载具Fix SN 4
2.Led harness support
3.1# Screw T8-M3*6.5
4.Pipe support clips</t>
  </si>
  <si>
    <t>1.
2.MEC034360
3.SCR000812N
4.MEC034342</t>
  </si>
  <si>
    <r>
      <rPr>
        <sz val="12"/>
        <rFont val="Arial"/>
        <charset val="134"/>
      </rPr>
      <t>S1-25-1-</t>
    </r>
    <r>
      <rPr>
        <sz val="12"/>
        <rFont val="宋体-简"/>
        <charset val="134"/>
      </rPr>
      <t>组装</t>
    </r>
    <r>
      <rPr>
        <sz val="12"/>
        <rFont val="Arial"/>
        <charset val="134"/>
      </rPr>
      <t>ASIC</t>
    </r>
    <r>
      <rPr>
        <sz val="12"/>
        <rFont val="宋体-简"/>
        <charset val="134"/>
      </rPr>
      <t>组件</t>
    </r>
  </si>
  <si>
    <t>S1-25-1-ASIC Module Assembly Machine</t>
  </si>
  <si>
    <t>1.载具Fix SN 4
2.Liquid system
Asic spc6 &amp; bracket</t>
  </si>
  <si>
    <t>1.
2.MA016413</t>
  </si>
  <si>
    <r>
      <rPr>
        <sz val="12"/>
        <rFont val="Arial"/>
        <charset val="134"/>
      </rPr>
      <t>S1-25-2-</t>
    </r>
    <r>
      <rPr>
        <sz val="12"/>
        <rFont val="宋体-简"/>
        <charset val="134"/>
      </rPr>
      <t>组装</t>
    </r>
    <r>
      <rPr>
        <sz val="12"/>
        <rFont val="Arial"/>
        <charset val="134"/>
      </rPr>
      <t>ASIC</t>
    </r>
    <r>
      <rPr>
        <sz val="12"/>
        <rFont val="宋体-简"/>
        <charset val="134"/>
      </rPr>
      <t>组件</t>
    </r>
  </si>
  <si>
    <t>S1-25-2-ASIC Module Assembly Machine</t>
  </si>
  <si>
    <t>S1-27-Final Inspection&amp;Unloading Machine</t>
  </si>
  <si>
    <t>S2-1：PCB Loader+AOI</t>
  </si>
  <si>
    <t>699-9T974 PCB+Fix 5</t>
  </si>
  <si>
    <t>MTCJ8622-001~
MTCJ8622-025</t>
  </si>
  <si>
    <t>1.载具SN
2.Main board SN</t>
  </si>
  <si>
    <t>1.
2.699-9T974-0100-000</t>
  </si>
  <si>
    <t>699-9T974-0100-000</t>
  </si>
  <si>
    <t>MO3</t>
  </si>
  <si>
    <t>S2-2-1：Nut+PCB ASSY</t>
  </si>
  <si>
    <t>Fix 5</t>
  </si>
  <si>
    <t>1.载具SN
2.Stand off lower(M3*8)
3.Guide pin upper(M3*18.2)</t>
  </si>
  <si>
    <t>1.
2.MEC034308
3.MEC034307</t>
  </si>
  <si>
    <t>S2-2-2：Bolt+PCB ASSY</t>
  </si>
  <si>
    <t>1.载具SN
2.Stand off upper(M3*23.5)
3.Guide pin lower(M3*13.5)</t>
  </si>
  <si>
    <t>1.
2.MEC034310
3.MEC034309</t>
  </si>
  <si>
    <t>S2-3：Component Protector ASSY</t>
  </si>
  <si>
    <t>1.载具SN
2.Component protector RIGHT
3.Component protector LEFT
4.9# Screw(M3*8)</t>
  </si>
  <si>
    <t>1.
2.Component protector LEFT：
MEC034395
MEC034394
3.SCR000823</t>
  </si>
  <si>
    <t>S2-4：Cold Plate ASSY</t>
  </si>
  <si>
    <t>1.载具SN
2.Heat pipe 
3.10# Screw(M3*10.7)</t>
  </si>
  <si>
    <t>1.
2.MEC034696
3.SCR000801</t>
  </si>
  <si>
    <t>S2-5-1：Auto Cage &amp; Tool Assembly</t>
  </si>
  <si>
    <t>1.载具SN
2.filler Tool *
3.SA 产品批次二维码卷料
4.OSFP cage（LEFT）</t>
  </si>
  <si>
    <t>1.
2.
3.
4. OSFP cage（LEFT）：
CON004322</t>
  </si>
  <si>
    <t>S2-5-2：Auto Cage &amp; Tool Assembly</t>
  </si>
  <si>
    <r>
      <rPr>
        <sz val="10"/>
        <rFont val="Arial"/>
        <charset val="134"/>
      </rPr>
      <t>1.载具SN
2.filler Tool *
3.SA 产品批次二维码卷料
4.</t>
    </r>
    <r>
      <rPr>
        <sz val="10"/>
        <color rgb="FFFF0000"/>
        <rFont val="Arial"/>
        <charset val="134"/>
      </rPr>
      <t>OSFP cage（RIGHT）</t>
    </r>
  </si>
  <si>
    <t>1.
2.
3.
4.OSFP cage（RIGHT）：CON004321</t>
  </si>
  <si>
    <r>
      <rPr>
        <sz val="12"/>
        <rFont val="Arial"/>
        <charset val="134"/>
      </rPr>
      <t>S2-6</t>
    </r>
    <r>
      <rPr>
        <sz val="12"/>
        <rFont val="宋体-简"/>
        <charset val="134"/>
      </rPr>
      <t>：</t>
    </r>
    <r>
      <rPr>
        <sz val="12"/>
        <rFont val="Microsoft YaHei"/>
        <charset val="134"/>
      </rPr>
      <t xml:space="preserve"> 压合</t>
    </r>
    <r>
      <rPr>
        <sz val="12"/>
        <rFont val="宋体-简"/>
        <charset val="134"/>
      </rPr>
      <t>机</t>
    </r>
  </si>
  <si>
    <t>S2-6: FOR PRESSING MACHINE</t>
  </si>
  <si>
    <t>Fix 5 or SN</t>
  </si>
  <si>
    <t>S2-7：Auto Flip &amp; Switch Carrier+AOI</t>
  </si>
  <si>
    <t>Fix 5 Or Fix 6</t>
  </si>
  <si>
    <t>MTCJ8623-001~
MTCJ8623-030</t>
  </si>
  <si>
    <r>
      <rPr>
        <sz val="10"/>
        <rFont val="Arial"/>
        <charset val="134"/>
      </rPr>
      <t xml:space="preserve">1、载具SN5,载具SN6  ( </t>
    </r>
    <r>
      <rPr>
        <sz val="10"/>
        <color rgb="FFFF0000"/>
        <rFont val="Arial"/>
        <charset val="134"/>
      </rPr>
      <t>MTCJ8622 + MTCJ8623)</t>
    </r>
  </si>
  <si>
    <t>S2-8：Component Protector ASSY</t>
  </si>
  <si>
    <t>Fix 6</t>
  </si>
  <si>
    <t>1.载具SN
2.Component protector（RIGHT）
3.Component protector（LEFT)
4.Screw(M3*11)
5.9# Screw(M3*8)</t>
  </si>
  <si>
    <t>1.
2.MEC034392
3.MEC034389
4.SCR000893
5.SCR000823</t>
  </si>
  <si>
    <t>S2-9-1：Cage &amp; Tool Assembly</t>
  </si>
  <si>
    <t>1.载具SN
2.OSFP cage（LEFT）
3.OSFP cage（RIGHT）</t>
  </si>
  <si>
    <t>1.
2.OSFP cage（LEFT）：CON004321
3.OSFP cage（RIGHT）：CON004322</t>
  </si>
  <si>
    <t>S2-9-2：Cage &amp; Tool Assembly</t>
  </si>
  <si>
    <t>1.
2.OSFP cage（LEFT）：CON004320
3.OSFP cage（RIGHT）：CON004319</t>
  </si>
  <si>
    <r>
      <rPr>
        <sz val="12"/>
        <rFont val="Arial"/>
        <charset val="134"/>
      </rPr>
      <t>S2-10</t>
    </r>
    <r>
      <rPr>
        <sz val="12"/>
        <rFont val="宋体-简"/>
        <charset val="134"/>
      </rPr>
      <t>：</t>
    </r>
    <r>
      <rPr>
        <sz val="12"/>
        <rFont val="Microsoft YaHei"/>
        <charset val="134"/>
      </rPr>
      <t xml:space="preserve"> 压合机</t>
    </r>
  </si>
  <si>
    <t>S2-10: FOR PRESSING MACHINE</t>
  </si>
  <si>
    <t>\</t>
  </si>
  <si>
    <t>S2-11-1：Tool Disassembly</t>
  </si>
  <si>
    <t>1.载具SN</t>
  </si>
  <si>
    <t>S2-11-2：Tool Disassembly</t>
  </si>
  <si>
    <t>S2-12：Auto Flip &amp; Switch Carrier+AOI</t>
  </si>
  <si>
    <t>Fix 6 +Fix 7</t>
  </si>
  <si>
    <t>1.载具SN6,载具SN7</t>
  </si>
  <si>
    <t>S2-13：Transfer</t>
  </si>
  <si>
    <t>S2-14-1 &amp; S2-14-2: OP assy IO board</t>
  </si>
  <si>
    <t>699-9T643-0100-001 +699-9T974-0100-000</t>
  </si>
  <si>
    <t>MTCJ8624-001~
MTCJ8624-030</t>
  </si>
  <si>
    <t xml:space="preserve"> 673-9T974-0150-000</t>
  </si>
  <si>
    <t>MO 4</t>
  </si>
  <si>
    <t>S2-15: Assemble WCK(BOT) + Remove 6pcs WCK Screws</t>
  </si>
  <si>
    <t>699-9T974-0100-000 +642-9T974-0100-910 + Fix 7</t>
  </si>
  <si>
    <t>1.载具Fix SN 6
2.WCK BOT</t>
  </si>
  <si>
    <t xml:space="preserve">1.
2.MA016411 </t>
  </si>
  <si>
    <t>S2-16-1: Remove WCK(BOT) 17pcs Screws</t>
  </si>
  <si>
    <t>Fix 7</t>
  </si>
  <si>
    <t>1.载具Fix SN 6</t>
  </si>
  <si>
    <t>S2-16-2: Remove WCK(BOT) 17pcs Screws + remove bracket</t>
  </si>
  <si>
    <t>S2-17-1&amp;3: Shuttle</t>
  </si>
  <si>
    <t>N/A</t>
  </si>
  <si>
    <t>S2-17-2: Pressure Hold WCK(BOT) + Fasten 9pcs Screws Machine</t>
  </si>
  <si>
    <t>1.载具Fix SN 6
2.Screw M2.5*6.5</t>
  </si>
  <si>
    <t>1.
2.SCR000816</t>
  </si>
  <si>
    <t>S2-17-4: Bridge Conveyor</t>
  </si>
  <si>
    <t>S2-18 &amp; S2-23: OP assy clip</t>
  </si>
  <si>
    <t>S2-19 AOI + Flip &amp; Change Carrier</t>
  </si>
  <si>
    <t>Fix 7+ Fix8 + 673-9T974-0150</t>
  </si>
  <si>
    <t>1.载具Fix SN 6
2.载具Fix SN 7</t>
  </si>
  <si>
    <t>S2-20: Assemble WCK(TOP) + Remove 6pcs WCK Screws</t>
  </si>
  <si>
    <t>699-9T974-0100-000 +642-9T974-0100-910 + Fix 8</t>
  </si>
  <si>
    <t>MTCJ8625-001~
MTCJ8625-026</t>
  </si>
  <si>
    <t>1.载具Fix SN 7
2.WCK TOP</t>
  </si>
  <si>
    <t>1.
2.MA016409</t>
  </si>
  <si>
    <t>S2-21-1: Remove WCK(TOP) 17pcs Screws</t>
  </si>
  <si>
    <t>Fix 8</t>
  </si>
  <si>
    <t>1.载具Fix SN 7</t>
  </si>
  <si>
    <t>S2-21-2: Remove WCK(TOP) 17pcs Screws + remove bracket</t>
  </si>
  <si>
    <t>S2-22-1&amp;3: Shuttle</t>
  </si>
  <si>
    <t>S2-22-2: Pressure Hold WCK(TOP) + Fasten 9pcs Screws Machine</t>
  </si>
  <si>
    <t>1.载具Fix SN 7
2.Screw(M2.5*6.5)</t>
  </si>
  <si>
    <t>S2-23-1 &amp; S2-23-2: OP assy clip</t>
  </si>
  <si>
    <t>S2-24 AOI + Unload</t>
  </si>
  <si>
    <t>Fix 8 +  673-9T974-0150 SN</t>
  </si>
  <si>
    <t>TW FIX +  673-9T974-0150 SN</t>
  </si>
  <si>
    <t>sr</t>
  </si>
  <si>
    <t>tw</t>
  </si>
  <si>
    <t>Salamandra  Auto Line Schedule</t>
  </si>
  <si>
    <t>Line</t>
  </si>
  <si>
    <t>Vendor</t>
  </si>
  <si>
    <t>Material Needed</t>
  </si>
  <si>
    <t>Plan</t>
  </si>
  <si>
    <t>MES</t>
  </si>
  <si>
    <r>
      <rPr>
        <sz val="8"/>
        <color rgb="FF000000"/>
        <rFont val="Calibri"/>
        <charset val="134"/>
        <scheme val="minor"/>
      </rPr>
      <t xml:space="preserve">提供MES </t>
    </r>
    <r>
      <rPr>
        <sz val="8"/>
        <color rgb="FF000000"/>
        <rFont val="Microsoft YaHei"/>
        <charset val="134"/>
      </rPr>
      <t>所有</t>
    </r>
    <r>
      <rPr>
        <sz val="8"/>
        <color rgb="FF000000"/>
        <rFont val="Calibri"/>
        <charset val="134"/>
        <scheme val="minor"/>
      </rPr>
      <t>当前工站使用物料</t>
    </r>
  </si>
  <si>
    <t xml:space="preserve"> 行为开发</t>
  </si>
  <si>
    <r>
      <rPr>
        <sz val="8"/>
        <color rgb="FF000000"/>
        <rFont val="Calibri"/>
        <charset val="134"/>
        <scheme val="minor"/>
      </rPr>
      <t>I</t>
    </r>
    <r>
      <rPr>
        <sz val="8"/>
        <color rgb="FF000000"/>
        <rFont val="Microsoft YaHei"/>
        <charset val="134"/>
      </rPr>
      <t>P</t>
    </r>
    <r>
      <rPr>
        <sz val="8"/>
        <color rgb="FF000000"/>
        <rFont val="Calibri"/>
        <charset val="134"/>
        <scheme val="minor"/>
      </rPr>
      <t>申请开通</t>
    </r>
  </si>
  <si>
    <r>
      <rPr>
        <sz val="8"/>
        <color rgb="FF000000"/>
        <rFont val="Calibri"/>
        <charset val="134"/>
        <scheme val="minor"/>
      </rPr>
      <t xml:space="preserve"> 站点增加</t>
    </r>
    <r>
      <rPr>
        <sz val="8"/>
        <color rgb="FF000000"/>
        <rFont val="Microsoft YaHei"/>
        <charset val="134"/>
      </rPr>
      <t>(ROTER)</t>
    </r>
  </si>
  <si>
    <t>网点接通</t>
  </si>
  <si>
    <t>界面开发</t>
  </si>
  <si>
    <t>服务器架设</t>
  </si>
  <si>
    <t>虚拟工单运行</t>
  </si>
  <si>
    <t>Controlrun</t>
  </si>
  <si>
    <t>F07-1F 自动化线</t>
  </si>
  <si>
    <t>SR</t>
  </si>
  <si>
    <t>Actual</t>
  </si>
  <si>
    <t>TW</t>
  </si>
  <si>
    <t>BOSSTER</t>
  </si>
  <si>
    <t>AE</t>
  </si>
  <si>
    <t>IT</t>
  </si>
  <si>
    <t>PE</t>
  </si>
  <si>
    <t xml:space="preserve"> Ongoing</t>
  </si>
  <si>
    <t>Done</t>
  </si>
  <si>
    <t>MES 
测试完成时间</t>
  </si>
  <si>
    <t>Remark</t>
  </si>
  <si>
    <t xml:space="preserve">
</t>
  </si>
  <si>
    <t>MTCJ8596-001~
MTCJ8596-016</t>
  </si>
  <si>
    <t>1.MA015833
2.LBL002007
3.Fixture MTCJ8596 (Pending)</t>
  </si>
  <si>
    <t>1.MA015832
2.LBL002007
3.Fixture MTCJ8596 (Pending)</t>
  </si>
  <si>
    <r>
      <rPr>
        <sz val="9"/>
        <color theme="1"/>
        <rFont val="Times New Roman Regular"/>
        <charset val="134"/>
      </rPr>
      <t>LED</t>
    </r>
    <r>
      <rPr>
        <sz val="9"/>
        <color theme="1"/>
        <rFont val="微软雅黑"/>
        <charset val="134"/>
      </rPr>
      <t>分隔板组装机</t>
    </r>
  </si>
  <si>
    <t xml:space="preserve">Fix MTCJ8596 +1.LBL002007 
(642-9T783-0160-000)
Fix MTCJ8596 </t>
  </si>
  <si>
    <t xml:space="preserve">1、载具码 + </t>
  </si>
  <si>
    <t>1.Fixture MTCJ8596 (Pending)</t>
  </si>
  <si>
    <r>
      <rPr>
        <sz val="9"/>
        <color theme="1"/>
        <rFont val="Times New Roman Regular"/>
        <charset val="134"/>
      </rPr>
      <t>LED</t>
    </r>
    <r>
      <rPr>
        <sz val="9"/>
        <color theme="1"/>
        <rFont val="微软雅黑"/>
        <charset val="134"/>
      </rPr>
      <t>主板组装及螺丝锁附机</t>
    </r>
  </si>
  <si>
    <t>Fix MTCJ8596 +699-9T783 解绑</t>
  </si>
  <si>
    <t>1、LED主板来料带物料码
2、螺丝料号SN
3、载具码</t>
  </si>
  <si>
    <t>1.699-9T783-0100-000
2.SCR000281
3.Fixture MTCJ8596 (Pending)</t>
  </si>
  <si>
    <r>
      <rPr>
        <sz val="9"/>
        <color theme="1"/>
        <rFont val="微软雅黑"/>
        <charset val="134"/>
      </rPr>
      <t>HAR002278+</t>
    </r>
    <r>
      <rPr>
        <sz val="9"/>
        <color rgb="FFFF0000"/>
        <rFont val="微软雅黑"/>
        <charset val="134"/>
      </rPr>
      <t xml:space="preserve">642-9T783 </t>
    </r>
  </si>
  <si>
    <t>1、线材来料带二维码
2、载具码</t>
  </si>
  <si>
    <t>1.HAR002278
2.Fixture MTCJ8596 (Pending)</t>
  </si>
  <si>
    <t xml:space="preserve">1.MA015976+MTCJ6574 +MTCJ7236+MTCJ6961+6999T8250100MFR（Front leakage sensor）
2.Fix MA015976+MTCJ8597 </t>
  </si>
  <si>
    <t>MTCJ8597-001~
MTCJ8597-050</t>
  </si>
  <si>
    <t>1、底框物料码
2、FPCB物料码
3、贴Label制程码
4、载具码</t>
  </si>
  <si>
    <t>1.LBL002007
2.699-9T825-0100-MFN
3.LBL002007
4.Fixture MTCJ8597
(Pending)</t>
  </si>
  <si>
    <r>
      <rPr>
        <sz val="9"/>
        <color theme="1"/>
        <rFont val="Times New Roman Regular"/>
        <charset val="134"/>
      </rPr>
      <t>SWB</t>
    </r>
    <r>
      <rPr>
        <sz val="9"/>
        <color theme="1"/>
        <rFont val="微软雅黑"/>
        <charset val="134"/>
      </rPr>
      <t>主板组装机</t>
    </r>
  </si>
  <si>
    <t xml:space="preserve">
1.Fix MTCJ8597+673-9N62F-0160-000</t>
  </si>
  <si>
    <t>1、SWB主板来料有产品码
2、载具码</t>
  </si>
  <si>
    <t>1.673-9N62F-0120-000
2.Fixture MTCJ8597
(Pending)</t>
  </si>
  <si>
    <r>
      <rPr>
        <sz val="9"/>
        <color theme="1"/>
        <rFont val="Times New Roman Regular"/>
        <charset val="134"/>
      </rPr>
      <t>SWB</t>
    </r>
    <r>
      <rPr>
        <sz val="9"/>
        <color theme="1"/>
        <rFont val="微软雅黑"/>
        <charset val="134"/>
      </rPr>
      <t>主板及底框螺丝锁附机</t>
    </r>
  </si>
  <si>
    <t xml:space="preserve"> MTCJ8597</t>
  </si>
  <si>
    <t>1、螺丝料号SN
2、载具码</t>
  </si>
  <si>
    <t>1.SCR000896
2.Fixture MTCJ8597
(Pending)</t>
  </si>
  <si>
    <t>1.SCR000704,SCR000443
2.Fixture MTCJ8597
(Pending)</t>
  </si>
  <si>
    <t>1、查询载具SN是否绑定
2、查询物料SN是否绑定
3、查询螺丝料号与螺丝数量
4、物料SN与载具SN绑定
5、上传过站信息(螺丝数据)</t>
  </si>
  <si>
    <t>1.Fixture MTCJ8597
(Pending)</t>
  </si>
  <si>
    <r>
      <rPr>
        <sz val="9"/>
        <color theme="1"/>
        <rFont val="Times New Roman Regular"/>
        <charset val="134"/>
      </rPr>
      <t xml:space="preserve">1.Fix  MTCJ8597+LBL002016
</t>
    </r>
    <r>
      <rPr>
        <sz val="9"/>
        <color rgb="FFFF0000"/>
        <rFont val="Times New Roman Regular"/>
        <charset val="134"/>
      </rPr>
      <t>BL-MTNCHL27RJ+ LBL002016
BL-MTMAC-232J</t>
    </r>
    <r>
      <rPr>
        <sz val="9"/>
        <color theme="1"/>
        <rFont val="Times New Roman Regular"/>
        <charset val="134"/>
      </rPr>
      <t>+MTCJ6957</t>
    </r>
  </si>
  <si>
    <t>1、Pull Tab支架有物料码
2、2PCS Label有物料码
3、螺丝料号SN
4、载具码</t>
  </si>
  <si>
    <t>1.MEC034403
2.LBL002007
3.SCR000745
4.Fixture MTCJ8597
(Pending)</t>
  </si>
  <si>
    <r>
      <rPr>
        <sz val="9"/>
        <color theme="1"/>
        <rFont val="Times New Roman Regular"/>
        <charset val="134"/>
      </rPr>
      <t>OSFP AND IO SA</t>
    </r>
    <r>
      <rPr>
        <sz val="9"/>
        <color theme="1"/>
        <rFont val="微软雅黑"/>
        <charset val="134"/>
      </rPr>
      <t>组装流水线</t>
    </r>
  </si>
  <si>
    <t>1.Fix  MTCJ8597+MTCJ6980+
673-9T974-0150-000+MTCJ6581</t>
  </si>
  <si>
    <t>1、OSFP来料有Label制程码
2、螺丝料号SN
3、载具码</t>
  </si>
  <si>
    <t>1.673-9T974-0100000
2.SCR000443
3.Fixture MTCJ8598(Pending)</t>
  </si>
  <si>
    <r>
      <rPr>
        <sz val="9"/>
        <color theme="1"/>
        <rFont val="Times New Roman Regular"/>
        <charset val="134"/>
      </rPr>
      <t>NCI</t>
    </r>
    <r>
      <rPr>
        <sz val="9"/>
        <color theme="1"/>
        <rFont val="微软雅黑"/>
        <charset val="134"/>
      </rPr>
      <t>连接器组装流水线</t>
    </r>
  </si>
  <si>
    <t>1.Fix  MTCJ8597+642-9T783-
0100000N+工装码</t>
  </si>
  <si>
    <t>1、Front Panel有Label制程码
2、螺丝料号SN
3、载具码</t>
  </si>
  <si>
    <t>1.642-9T783-0100-000
2.SCR000704
3.Fixture MTCJ8598(Pending)</t>
  </si>
  <si>
    <t>无</t>
  </si>
  <si>
    <t>1、3PCS线缆来料有二维码
2、载具码</t>
  </si>
  <si>
    <t>1.HAR002302,HAR001985,HAR002265
2.Fixture MTCJ8598(Pending)</t>
  </si>
  <si>
    <t>1.Fix  MTCJ8597+MEC034371N</t>
  </si>
  <si>
    <t>1、支架来料有物料码
2、螺丝料号SN
3、载具码</t>
  </si>
  <si>
    <r>
      <rPr>
        <sz val="9"/>
        <color theme="1"/>
        <rFont val="Times New Roman Regular"/>
        <charset val="134"/>
      </rPr>
      <t>1.MEC034372
2.SCR000896</t>
    </r>
    <r>
      <rPr>
        <sz val="9"/>
        <color theme="1"/>
        <rFont val="宋体-简"/>
        <charset val="134"/>
      </rPr>
      <t>，</t>
    </r>
    <r>
      <rPr>
        <sz val="9"/>
        <color theme="1"/>
        <rFont val="Times New Roman Regular"/>
        <charset val="134"/>
      </rPr>
      <t>SCR000895
3.Fixture MTCJ8598(Pending)</t>
    </r>
  </si>
  <si>
    <t>1.Fix  MTCJ8597+产品码解绑</t>
  </si>
  <si>
    <r>
      <rPr>
        <sz val="9"/>
        <color theme="1"/>
        <rFont val="Times New Roman Regular"/>
        <charset val="134"/>
      </rPr>
      <t>Front Section&amp;MGX</t>
    </r>
    <r>
      <rPr>
        <sz val="9"/>
        <color theme="1"/>
        <rFont val="微软雅黑"/>
        <charset val="134"/>
      </rPr>
      <t>底框组装机</t>
    </r>
  </si>
  <si>
    <r>
      <rPr>
        <sz val="9"/>
        <color theme="1"/>
        <rFont val="Times New Roman Regular"/>
        <charset val="134"/>
      </rPr>
      <t xml:space="preserve">MA015974+LBL002016
</t>
    </r>
    <r>
      <rPr>
        <sz val="9"/>
        <color rgb="FFFF0000"/>
        <rFont val="Times New Roman Regular"/>
        <charset val="134"/>
      </rPr>
      <t>BL-MTNCHL27RJ+ LBL002016
BL-MTMAC-232J</t>
    </r>
  </si>
  <si>
    <r>
      <rPr>
        <sz val="9"/>
        <color theme="1"/>
        <rFont val="Times New Roman Regular"/>
        <charset val="134"/>
      </rPr>
      <t>1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 Regular"/>
        <charset val="134"/>
      </rPr>
      <t>MGX Base</t>
    </r>
    <r>
      <rPr>
        <sz val="9"/>
        <color theme="1"/>
        <rFont val="宋体"/>
        <charset val="134"/>
      </rPr>
      <t>来料有物料码（侧面）</t>
    </r>
    <r>
      <rPr>
        <sz val="9"/>
        <color theme="1"/>
        <rFont val="Times New Roman Regular"/>
        <charset val="134"/>
      </rPr>
      <t xml:space="preserve">
2</t>
    </r>
    <r>
      <rPr>
        <sz val="9"/>
        <color theme="1"/>
        <rFont val="宋体"/>
        <charset val="134"/>
      </rPr>
      <t>、载具码</t>
    </r>
    <r>
      <rPr>
        <sz val="9"/>
        <color theme="1"/>
        <rFont val="Times New Roman Regular"/>
        <charset val="134"/>
      </rPr>
      <t xml:space="preserve">
</t>
    </r>
  </si>
  <si>
    <t>1.MA015974
2.Fixture MTCJ8598(Pending)</t>
  </si>
  <si>
    <t>675-9N62F-0160-000</t>
  </si>
  <si>
    <t>PENDING</t>
  </si>
  <si>
    <t>MTCJ8598-001~
MTCJ8598-010</t>
  </si>
  <si>
    <r>
      <rPr>
        <sz val="9"/>
        <color theme="1"/>
        <rFont val="Times New Roman Regular"/>
        <charset val="134"/>
      </rPr>
      <t>MGMT-WCS</t>
    </r>
    <r>
      <rPr>
        <sz val="9"/>
        <color theme="1"/>
        <rFont val="微软雅黑"/>
        <charset val="134"/>
      </rPr>
      <t>上料流水线</t>
    </r>
  </si>
  <si>
    <t>1.Fix MTCJ8599                                                               2.642-9T713-0100800N (MA016415)</t>
  </si>
  <si>
    <t>MTCJ8599-001~
MTCJ8599-020</t>
  </si>
  <si>
    <t>1、WCS来料有物料码 
2、载具码</t>
  </si>
  <si>
    <t>1.MA016415
2.Fixture MTCJ8599(Pending)</t>
  </si>
  <si>
    <t>673-9T713-0150-200_1</t>
  </si>
  <si>
    <r>
      <rPr>
        <sz val="9"/>
        <color theme="1"/>
        <rFont val="Times New Roman Regular"/>
        <charset val="134"/>
      </rPr>
      <t>MGMT-</t>
    </r>
    <r>
      <rPr>
        <sz val="9"/>
        <color theme="1"/>
        <rFont val="微软雅黑"/>
        <charset val="134"/>
      </rPr>
      <t>主板组装机</t>
    </r>
  </si>
  <si>
    <t xml:space="preserve">1.Fix MTCJ8599                                                              2.699-9T713-0100200N  (MGMT)                                                               </t>
  </si>
  <si>
    <t>1、主板来料有物料码
2、载具码</t>
  </si>
  <si>
    <t>1.699-9T713-0100-200
2.Fixture MTCJ8599(Pending)</t>
  </si>
  <si>
    <r>
      <rPr>
        <sz val="9"/>
        <color theme="1"/>
        <rFont val="Times New Roman Regular"/>
        <charset val="134"/>
      </rPr>
      <t>MGMT-</t>
    </r>
    <r>
      <rPr>
        <sz val="9"/>
        <color theme="1"/>
        <rFont val="微软雅黑"/>
        <charset val="134"/>
      </rPr>
      <t>加强板组装机</t>
    </r>
  </si>
  <si>
    <t xml:space="preserve">1.Fix MTCJ8599                                                                                                        </t>
  </si>
  <si>
    <t>1
2、螺丝料号SN
3、载具码</t>
  </si>
  <si>
    <t xml:space="preserve">
2.SCR000801
3.Fixture MTCJ8599(Pending)</t>
  </si>
  <si>
    <r>
      <rPr>
        <sz val="9"/>
        <color theme="1"/>
        <rFont val="Times New Roman Regular"/>
        <charset val="134"/>
      </rPr>
      <t>MGMT-</t>
    </r>
    <r>
      <rPr>
        <sz val="9"/>
        <color theme="1"/>
        <rFont val="微软雅黑"/>
        <charset val="134"/>
      </rPr>
      <t>保压及锁螺丝机</t>
    </r>
  </si>
  <si>
    <t xml:space="preserve">1.Fix MTCJ8599                                                               </t>
  </si>
  <si>
    <t>MGMT</t>
  </si>
  <si>
    <t>1.SCR000887
2.Fixture MTCJ8599(Pending)</t>
  </si>
  <si>
    <r>
      <rPr>
        <sz val="9"/>
        <color theme="1"/>
        <rFont val="Times New Roman Regular"/>
        <charset val="134"/>
      </rPr>
      <t>MGMT 贴标-AOI</t>
    </r>
    <r>
      <rPr>
        <sz val="9"/>
        <color theme="1"/>
        <rFont val="微软雅黑"/>
        <charset val="134"/>
      </rPr>
      <t>检测及下料机</t>
    </r>
  </si>
  <si>
    <t xml:space="preserve">1.Fix MTCJ8599                                                          2.LBL002007N (  673-9T713  )                                   </t>
  </si>
  <si>
    <t>1、载具码</t>
  </si>
  <si>
    <t>1.Fixture MTCJ8599(Pending)
2.LBL002007</t>
  </si>
  <si>
    <r>
      <rPr>
        <sz val="9"/>
        <color theme="1"/>
        <rFont val="Times New Roman Regular"/>
        <charset val="134"/>
      </rPr>
      <t>RS-Chassis</t>
    </r>
    <r>
      <rPr>
        <sz val="9"/>
        <color theme="1"/>
        <rFont val="微软雅黑"/>
        <charset val="134"/>
      </rPr>
      <t>上料机</t>
    </r>
  </si>
  <si>
    <t xml:space="preserve">1.Fix MTCJ8600                                                                       2.MEC034320                                                            </t>
  </si>
  <si>
    <t>MTCJ8600-001~
MTCJ8600-045</t>
  </si>
  <si>
    <t>1、Chassis来料有物料码
2、载具码</t>
  </si>
  <si>
    <t>1.MEC034320
2.Fixture MTCJ8600(Pending)</t>
  </si>
  <si>
    <t>670-9N62F-0150-300_1</t>
  </si>
  <si>
    <t>MO 8</t>
  </si>
  <si>
    <r>
      <rPr>
        <sz val="9"/>
        <color theme="1"/>
        <rFont val="Times New Roman Regular"/>
        <charset val="134"/>
      </rPr>
      <t>RS-FPCB</t>
    </r>
    <r>
      <rPr>
        <sz val="9"/>
        <color theme="1"/>
        <rFont val="微软雅黑"/>
        <charset val="134"/>
      </rPr>
      <t>组装机</t>
    </r>
  </si>
  <si>
    <t xml:space="preserve">1.Fix MTCJ8600                                                                                                                                          2.699-9T869-0100-MFRN     (FPC)                                                      </t>
  </si>
  <si>
    <t>1、FPCB来料有物料码
2、载具码</t>
  </si>
  <si>
    <t>1.699-9T869-0100-MFR
2.Fixture MTCJ8600(Pending)</t>
  </si>
  <si>
    <r>
      <rPr>
        <sz val="9"/>
        <color theme="1"/>
        <rFont val="Times New Roman Regular"/>
        <charset val="134"/>
      </rPr>
      <t>RS-</t>
    </r>
    <r>
      <rPr>
        <sz val="9"/>
        <color theme="1"/>
        <rFont val="微软雅黑"/>
        <charset val="134"/>
      </rPr>
      <t>贴标机</t>
    </r>
    <r>
      <rPr>
        <sz val="9"/>
        <color theme="1"/>
        <rFont val="Times New Roman Regular"/>
        <charset val="134"/>
      </rPr>
      <t>A</t>
    </r>
  </si>
  <si>
    <t xml:space="preserve">1.Fix MTCJ8600                                                                                                                                          2.LBL002007N (670-9N62F-0150)                                                         </t>
  </si>
  <si>
    <t>1、Label码</t>
  </si>
  <si>
    <t>1.LBL002007</t>
  </si>
  <si>
    <r>
      <rPr>
        <sz val="9"/>
        <color theme="1"/>
        <rFont val="Times New Roman Regular"/>
        <charset val="134"/>
      </rPr>
      <t>RS-PDB</t>
    </r>
    <r>
      <rPr>
        <sz val="9"/>
        <color theme="1"/>
        <rFont val="微软雅黑"/>
        <charset val="134"/>
      </rPr>
      <t>液体系统组装机</t>
    </r>
  </si>
  <si>
    <t xml:space="preserve">1.Fix MTCJ8600                                                                  2.642-9T402-0310800N                                                                                                                                                                                    </t>
  </si>
  <si>
    <t>ASSY_PDB
642-9T402-0310-300 (MO 9)
673-9T402-0310-300 (MO 10)</t>
  </si>
  <si>
    <t>1、液体冷板来料有物料码
2、载具码</t>
  </si>
  <si>
    <t>1.642-9T402-0310800
2.Fixture MTCJ8600(Pending)</t>
  </si>
  <si>
    <r>
      <rPr>
        <sz val="9"/>
        <color theme="1"/>
        <rFont val="Times New Roman Regular"/>
        <charset val="134"/>
      </rPr>
      <t>RS-PDB</t>
    </r>
    <r>
      <rPr>
        <sz val="9"/>
        <color theme="1"/>
        <rFont val="微软雅黑"/>
        <charset val="134"/>
      </rPr>
      <t>冷板上料流水线</t>
    </r>
  </si>
  <si>
    <t xml:space="preserve">1.673-9T402-0310300N                                                                                                                                                                             </t>
  </si>
  <si>
    <t>1、2PCS PDB冷板来料侧面有物料码
2、载具码</t>
  </si>
  <si>
    <t>1.MA015754
2.Fixture MTCJ8600(Pending)</t>
  </si>
  <si>
    <r>
      <rPr>
        <sz val="9"/>
        <color theme="1"/>
        <rFont val="Times New Roman Regular"/>
        <charset val="134"/>
      </rPr>
      <t>RS-PDB</t>
    </r>
    <r>
      <rPr>
        <sz val="9"/>
        <color theme="1"/>
        <rFont val="微软雅黑"/>
        <charset val="134"/>
      </rPr>
      <t>主板与系统板组装机</t>
    </r>
  </si>
  <si>
    <t xml:space="preserve">1.Fix MTCJ8600                                                                                                                                          2.673-9T402-0310300N                                                </t>
  </si>
  <si>
    <t>1、主板来料有物料码
     2、螺丝料号SN
3、载具码</t>
  </si>
  <si>
    <t>1.699-9T402-0310-300
2.Fixture MTCJ8600(Pending)</t>
  </si>
  <si>
    <r>
      <rPr>
        <sz val="9"/>
        <color theme="1"/>
        <rFont val="Times New Roman Regular"/>
        <charset val="134"/>
      </rPr>
      <t>RS-</t>
    </r>
    <r>
      <rPr>
        <sz val="9"/>
        <color theme="1"/>
        <rFont val="微软雅黑"/>
        <charset val="134"/>
      </rPr>
      <t>贴标机</t>
    </r>
    <r>
      <rPr>
        <sz val="9"/>
        <color theme="1"/>
        <rFont val="Times New Roman Regular"/>
        <charset val="134"/>
      </rPr>
      <t>B</t>
    </r>
  </si>
  <si>
    <t xml:space="preserve">1.Fix MTCJ8600                                                                                                                                          2.LBL002007N                                                 </t>
  </si>
  <si>
    <t>1、 Label码(3PCS)
2、载具码</t>
  </si>
  <si>
    <t>1.LBL002007
2.Fixture MTCJ8600(Pending)</t>
  </si>
  <si>
    <r>
      <rPr>
        <sz val="9"/>
        <color theme="1"/>
        <rFont val="Times New Roman Regular"/>
        <charset val="134"/>
      </rPr>
      <t>RS-MGMT</t>
    </r>
    <r>
      <rPr>
        <sz val="9"/>
        <color theme="1"/>
        <rFont val="微软雅黑"/>
        <charset val="134"/>
      </rPr>
      <t>子组件组装机</t>
    </r>
  </si>
  <si>
    <t xml:space="preserve">1.Fix MTCJ8600                                                                                                                                          2.MEC034320                                                          3.LBL002007                                                         </t>
  </si>
  <si>
    <t>1、MGMT Sub来料有制程码
2、螺丝料号SN
3、载具码</t>
  </si>
  <si>
    <t>1.673-9T713-0400200
2.SCR000887
3.Fixture MTCJ8600(Pending)</t>
  </si>
  <si>
    <r>
      <rPr>
        <sz val="9"/>
        <color theme="1"/>
        <rFont val="Times New Roman Regular"/>
        <charset val="134"/>
      </rPr>
      <t>RS-BMC</t>
    </r>
    <r>
      <rPr>
        <sz val="9"/>
        <color theme="1"/>
        <rFont val="微软雅黑"/>
        <charset val="134"/>
      </rPr>
      <t>冷板上料机</t>
    </r>
  </si>
  <si>
    <t>1.NV_ASSYN
LBL002007N</t>
  </si>
  <si>
    <t>ASSY_BMC
642-23809-1650-000 (MO 11)</t>
  </si>
  <si>
    <t>1、BMC冷板来料有物料码
2、贴1PCS Label制程码
3、载具码</t>
  </si>
  <si>
    <t>1.MEC034219
2.LBL002007
3.Fixture MTCJ8600(Pending)</t>
  </si>
  <si>
    <r>
      <rPr>
        <sz val="9"/>
        <color theme="1"/>
        <rFont val="Times New Roman Regular"/>
        <charset val="134"/>
      </rPr>
      <t>RS-BMC</t>
    </r>
    <r>
      <rPr>
        <sz val="9"/>
        <color theme="1"/>
        <rFont val="微软雅黑"/>
        <charset val="134"/>
      </rPr>
      <t>子组件组装机</t>
    </r>
  </si>
  <si>
    <r>
      <rPr>
        <sz val="9"/>
        <color theme="1"/>
        <rFont val="Times New Roman Regular"/>
        <charset val="134"/>
      </rPr>
      <t>1.MTCJ8600 + 699-24102-
0100EB1
BMC</t>
    </r>
    <r>
      <rPr>
        <sz val="9"/>
        <color theme="1"/>
        <rFont val="宋体"/>
        <charset val="134"/>
      </rPr>
      <t>板</t>
    </r>
    <r>
      <rPr>
        <sz val="9"/>
        <color theme="1"/>
        <rFont val="Times New Roman Regular"/>
        <charset val="134"/>
      </rPr>
      <t xml:space="preserve"> N + MEC034219N</t>
    </r>
  </si>
  <si>
    <t>1、BMC主板来料有物料码
2、螺丝料号SN
3、载具码</t>
  </si>
  <si>
    <t>1.69223809165000
2.SCR000821
3.Fixture MTCJ8600(Pending)</t>
  </si>
  <si>
    <r>
      <rPr>
        <sz val="9"/>
        <color theme="1"/>
        <rFont val="Times New Roman Regular"/>
        <charset val="134"/>
      </rPr>
      <t>RS-SSD</t>
    </r>
    <r>
      <rPr>
        <sz val="9"/>
        <color theme="1"/>
        <rFont val="微软雅黑"/>
        <charset val="134"/>
      </rPr>
      <t>上下冷板上料机</t>
    </r>
  </si>
  <si>
    <t>ASSY_SSD
673-331-0070-000 (MO 12)</t>
  </si>
  <si>
    <t>Fixture MTCJ8600(Pending)</t>
  </si>
  <si>
    <r>
      <rPr>
        <sz val="9"/>
        <color theme="1"/>
        <rFont val="Times New Roman Regular"/>
        <charset val="134"/>
      </rPr>
      <t>RS-Thermal Pad</t>
    </r>
    <r>
      <rPr>
        <sz val="9"/>
        <color theme="1"/>
        <rFont val="微软雅黑"/>
        <charset val="134"/>
      </rPr>
      <t>贴装机</t>
    </r>
  </si>
  <si>
    <t>1、 Thermal Pad来料有料号
2、载具码</t>
  </si>
  <si>
    <t>1.MEC034349,MEC034595,MEC034579
2.Fixture MTCJ8600(Pending)</t>
  </si>
  <si>
    <r>
      <rPr>
        <sz val="9"/>
        <color theme="1"/>
        <rFont val="Times New Roman Regular"/>
        <charset val="134"/>
      </rPr>
      <t>RS-SSD</t>
    </r>
    <r>
      <rPr>
        <sz val="9"/>
        <color theme="1"/>
        <rFont val="微软雅黑"/>
        <charset val="134"/>
      </rPr>
      <t>主板与下冷板组装机</t>
    </r>
  </si>
  <si>
    <t>642-331-
0700-000N(SSD code)</t>
  </si>
  <si>
    <t>1、 SSD主板来料有物料码
2、载具码</t>
  </si>
  <si>
    <t>1.642-331-0700-000
2.Fixture MTCJ8600(Pending)</t>
  </si>
  <si>
    <r>
      <rPr>
        <sz val="9"/>
        <color theme="1"/>
        <rFont val="Times New Roman Regular"/>
        <charset val="134"/>
      </rPr>
      <t>RS-</t>
    </r>
    <r>
      <rPr>
        <sz val="9"/>
        <color theme="1"/>
        <rFont val="微软雅黑"/>
        <charset val="134"/>
      </rPr>
      <t>上冷板组装机</t>
    </r>
  </si>
  <si>
    <t xml:space="preserve"> MT1650X01504(LBL002007)</t>
  </si>
  <si>
    <t>1、贴1PCS Label
2、螺丝料号SN
3、载具码</t>
  </si>
  <si>
    <t>1.LBL002007
2.SCR000304
3.Fixture MTCJ8600(Pending)</t>
  </si>
  <si>
    <r>
      <rPr>
        <sz val="9"/>
        <color theme="1"/>
        <rFont val="Times New Roman Regular"/>
        <charset val="134"/>
      </rPr>
      <t>RS-SSD</t>
    </r>
    <r>
      <rPr>
        <sz val="9"/>
        <color theme="1"/>
        <rFont val="微软雅黑"/>
        <charset val="134"/>
      </rPr>
      <t>子组件组装机</t>
    </r>
  </si>
  <si>
    <t>MTCJ8600 + MT1650X01504(LBL002007)</t>
  </si>
  <si>
    <t>1、SSD SA来料有制程码（Label）
2、螺丝料号SN
3、载具码</t>
  </si>
  <si>
    <t>1.673-331-0700-000
2.SCR000951
3.Fixture MTCJ8600(Pending)</t>
  </si>
  <si>
    <r>
      <rPr>
        <sz val="9"/>
        <color theme="1"/>
        <rFont val="微软雅黑"/>
        <charset val="134"/>
      </rPr>
      <t>连接器插入及电池</t>
    </r>
    <r>
      <rPr>
        <sz val="9"/>
        <color theme="1"/>
        <rFont val="Times New Roman Regular"/>
        <charset val="134"/>
      </rPr>
      <t>&amp;TPM</t>
    </r>
    <r>
      <rPr>
        <sz val="9"/>
        <color theme="1"/>
        <rFont val="微软雅黑"/>
        <charset val="134"/>
      </rPr>
      <t>组装流水线</t>
    </r>
  </si>
  <si>
    <r>
      <rPr>
        <sz val="9"/>
        <color theme="1"/>
        <rFont val="Times New Roman Regular"/>
        <charset val="134"/>
      </rPr>
      <t>MTCJ8600 +  642-
23177-0001000N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 Regular"/>
        <charset val="134"/>
      </rPr>
      <t>TPM</t>
    </r>
    <r>
      <rPr>
        <sz val="9"/>
        <color theme="1"/>
        <rFont val="宋体"/>
        <charset val="134"/>
      </rPr>
      <t>码）</t>
    </r>
    <r>
      <rPr>
        <sz val="9"/>
        <color theme="1"/>
        <rFont val="Times New Roman Regular"/>
        <charset val="134"/>
      </rPr>
      <t>+ HAR002264N</t>
    </r>
  </si>
  <si>
    <t>1、TPM有Label码
2、线材有二维码
3、载具码</t>
  </si>
  <si>
    <t>1.642-23177-0100100
2.LBL002007
3.Fixture MTCJ8600(Pending)</t>
  </si>
  <si>
    <r>
      <rPr>
        <sz val="9"/>
        <color theme="1"/>
        <rFont val="Times New Roman Regular"/>
        <charset val="134"/>
      </rPr>
      <t>RS-</t>
    </r>
    <r>
      <rPr>
        <sz val="9"/>
        <color theme="1"/>
        <rFont val="微软雅黑"/>
        <charset val="134"/>
      </rPr>
      <t>下料机</t>
    </r>
  </si>
  <si>
    <r>
      <rPr>
        <sz val="9"/>
        <color theme="1"/>
        <rFont val="Times New Roman Regular"/>
        <charset val="134"/>
      </rPr>
      <t xml:space="preserve">MTCJ8600 +  MEC034320 </t>
    </r>
    <r>
      <rPr>
        <sz val="9"/>
        <color theme="1"/>
        <rFont val="宋体"/>
        <charset val="134"/>
      </rPr>
      <t>解绑</t>
    </r>
  </si>
  <si>
    <t>1.1段载具收集【共4款载具】</t>
  </si>
  <si>
    <t>1.2前段载具收集【共2款载具】</t>
  </si>
  <si>
    <t>1.2后段载具收集【共2款载具】</t>
  </si>
  <si>
    <t>数量</t>
  </si>
  <si>
    <t>1.1前段1# TOP载具【共12套】</t>
  </si>
  <si>
    <t>1.1前段2# BOT载具【共16套】</t>
  </si>
  <si>
    <t>1.1后段3# BOT载具【共25套】</t>
  </si>
  <si>
    <t>1.1后段4# TOP载具【共33套】</t>
  </si>
  <si>
    <t>1.2前段B面载具【共25套】</t>
  </si>
  <si>
    <t>1.2前段T面载具【共30套】</t>
  </si>
  <si>
    <t>1.2后段BOT载具【共30套】</t>
  </si>
  <si>
    <t>1.2后段TOP载具【共26套】</t>
  </si>
  <si>
    <t>P/N</t>
  </si>
  <si>
    <t>MTCJ8619</t>
  </si>
  <si>
    <t>MTCJ8618</t>
  </si>
  <si>
    <t>MTCJ8620</t>
  </si>
  <si>
    <t>MTCJ8621</t>
  </si>
  <si>
    <t>MTCJ8622</t>
  </si>
  <si>
    <t>MTCJ8624</t>
  </si>
  <si>
    <t>MTCJ8625</t>
  </si>
  <si>
    <t>Description</t>
  </si>
  <si>
    <t>SALAMANDRA - FRONT PANEL T SIDE CARRIER FOR AUTOMATION ASSEMBLY FIXTURE</t>
  </si>
  <si>
    <t>SALAMANDRA - FRONT PANEL B SIDE CARRIER FOR AUTOMATION ASSEMBLY FIXTURE</t>
  </si>
  <si>
    <t>SALAMANDRA - REAR PANEL B SIDE CARRIER FOR AUTOMATION ASSEMBLY FIXTURE</t>
  </si>
  <si>
    <t>SALAMANDRA - REAR PANEL T SIDE CARRIER FOR AUTOMATION ASSEMBLY FIXTURE</t>
  </si>
  <si>
    <t>SALAMANDRA - FRONT OSFP B SIDE CARRIER FOR AUTOMATION ASSEMBLY FIXTURE</t>
  </si>
  <si>
    <t>SALAMANDRA - FRONT OSFP T SIDE CARRIER FOR AUTOMATION ASSEMBLY FIXTURE</t>
  </si>
  <si>
    <t>SALAMANDRA - REAR OSFP B SIDE CARRIER FOR AUTOMATION ASSEMBLY FIXTURE</t>
  </si>
  <si>
    <t>SALAMANDRA - REAR OSFP T SIDE CARRIER FOR AUTOMATION ASSEMBLY FIXTURE</t>
  </si>
  <si>
    <t>MTCJ8619-001</t>
  </si>
  <si>
    <t>MTCJ8618-001</t>
  </si>
  <si>
    <t>MTCJ8620-001</t>
  </si>
  <si>
    <t>MTCJ8621-001</t>
  </si>
  <si>
    <t>MTCJ8622-001</t>
  </si>
  <si>
    <t>MTCJ8623-001</t>
  </si>
  <si>
    <t>MTCJ8624-001</t>
  </si>
  <si>
    <t>MTCJ8625-001</t>
  </si>
  <si>
    <t>MTCJ8619-002</t>
  </si>
  <si>
    <t>MTCJ8618-002</t>
  </si>
  <si>
    <t>MTCJ8620-002</t>
  </si>
  <si>
    <t>MTCJ8621-002</t>
  </si>
  <si>
    <t>MTCJ8622-002</t>
  </si>
  <si>
    <t>MTCJ8623-002</t>
  </si>
  <si>
    <t>MTCJ8624-002</t>
  </si>
  <si>
    <t>MTCJ8625-002</t>
  </si>
  <si>
    <t>MTCJ8619-003</t>
  </si>
  <si>
    <t>MTCJ8618-003</t>
  </si>
  <si>
    <t>MTCJ8620-003</t>
  </si>
  <si>
    <t>MTCJ8621-003</t>
  </si>
  <si>
    <t>MTCJ8622-003</t>
  </si>
  <si>
    <t>MTCJ8623-003</t>
  </si>
  <si>
    <t>MTCJ8624-003</t>
  </si>
  <si>
    <t>MTCJ8625-003</t>
  </si>
  <si>
    <t>MTCJ8619-004</t>
  </si>
  <si>
    <t>MTCJ8618-004</t>
  </si>
  <si>
    <t>MTCJ8620-004</t>
  </si>
  <si>
    <t>MTCJ8621-004</t>
  </si>
  <si>
    <t>MTCJ8622-004</t>
  </si>
  <si>
    <t>MTCJ8623-004</t>
  </si>
  <si>
    <t>MTCJ8624-004</t>
  </si>
  <si>
    <t>MTCJ8625-004</t>
  </si>
  <si>
    <t>MTCJ8619-005</t>
  </si>
  <si>
    <t>MTCJ8618-005</t>
  </si>
  <si>
    <t>MTCJ8620-005</t>
  </si>
  <si>
    <t>MTCJ8621-005</t>
  </si>
  <si>
    <t>MTCJ8622-005</t>
  </si>
  <si>
    <t>MTCJ8623-005</t>
  </si>
  <si>
    <t>MTCJ8624-005</t>
  </si>
  <si>
    <t>MTCJ8625-005</t>
  </si>
  <si>
    <t>MTCJ8619-006</t>
  </si>
  <si>
    <t>MTCJ8618-006</t>
  </si>
  <si>
    <t>MTCJ8620-006</t>
  </si>
  <si>
    <t>MTCJ8621-006</t>
  </si>
  <si>
    <t>MTCJ8622-006</t>
  </si>
  <si>
    <t>MTCJ8623-006</t>
  </si>
  <si>
    <t>MTCJ8624-006</t>
  </si>
  <si>
    <t>MTCJ8625-006</t>
  </si>
  <si>
    <t>MTCJ8619-007</t>
  </si>
  <si>
    <t>MTCJ8618-007</t>
  </si>
  <si>
    <t>MTCJ8620-007</t>
  </si>
  <si>
    <t>MTCJ8621-007</t>
  </si>
  <si>
    <t>MTCJ8622-007</t>
  </si>
  <si>
    <t>MTCJ8623-007</t>
  </si>
  <si>
    <t>MTCJ8624-007</t>
  </si>
  <si>
    <t>MTCJ8625-007</t>
  </si>
  <si>
    <t>MTCJ8619-008</t>
  </si>
  <si>
    <t>MTCJ8618-008</t>
  </si>
  <si>
    <t>MTCJ8620-008</t>
  </si>
  <si>
    <t>MTCJ8621-008</t>
  </si>
  <si>
    <t>MTCJ8622-008</t>
  </si>
  <si>
    <t>MTCJ8623-008</t>
  </si>
  <si>
    <t>MTCJ8624-008</t>
  </si>
  <si>
    <t>MTCJ8625-008</t>
  </si>
  <si>
    <t>MTCJ8619-009</t>
  </si>
  <si>
    <t>MTCJ8618-009</t>
  </si>
  <si>
    <t>MTCJ8620-009</t>
  </si>
  <si>
    <t>MTCJ8621-009</t>
  </si>
  <si>
    <t>MTCJ8622-009</t>
  </si>
  <si>
    <t>MTCJ8623-009</t>
  </si>
  <si>
    <t>MTCJ8624-009</t>
  </si>
  <si>
    <t>MTCJ8625-009</t>
  </si>
  <si>
    <t>MTCJ8619-010</t>
  </si>
  <si>
    <t>MTCJ8618-010</t>
  </si>
  <si>
    <t>MTCJ8620-010</t>
  </si>
  <si>
    <t>MTCJ8621-010</t>
  </si>
  <si>
    <t>MTCJ8622-010</t>
  </si>
  <si>
    <t>MTCJ8623-010</t>
  </si>
  <si>
    <t>MTCJ8624-010</t>
  </si>
  <si>
    <t>MTCJ8625-010</t>
  </si>
  <si>
    <t>MTCJ8619-011</t>
  </si>
  <si>
    <t>MTCJ8618-011</t>
  </si>
  <si>
    <t>MTCJ8620-011</t>
  </si>
  <si>
    <t>MTCJ8621-011</t>
  </si>
  <si>
    <t>MTCJ8622-011</t>
  </si>
  <si>
    <t>MTCJ8623-011</t>
  </si>
  <si>
    <t>MTCJ8624-011</t>
  </si>
  <si>
    <t>MTCJ8625-011</t>
  </si>
  <si>
    <t>MTCJ8619-012</t>
  </si>
  <si>
    <t>MTCJ8618-012</t>
  </si>
  <si>
    <t>MTCJ8620-012</t>
  </si>
  <si>
    <t>MTCJ8621-012</t>
  </si>
  <si>
    <t>MTCJ8622-012</t>
  </si>
  <si>
    <t>MTCJ8623-012</t>
  </si>
  <si>
    <t>MTCJ8624-012</t>
  </si>
  <si>
    <t>MTCJ8625-012</t>
  </si>
  <si>
    <t>MTCJ8618-013</t>
  </si>
  <si>
    <t>MTCJ8620-013</t>
  </si>
  <si>
    <t>MTCJ8621-013</t>
  </si>
  <si>
    <t>MTCJ8622-013</t>
  </si>
  <si>
    <t>MTCJ8623-013</t>
  </si>
  <si>
    <t>MTCJ8624-013</t>
  </si>
  <si>
    <t>MTCJ8625-013</t>
  </si>
  <si>
    <t>MTCJ8618-014</t>
  </si>
  <si>
    <t>MTCJ8620-014</t>
  </si>
  <si>
    <t>MTCJ8621-014</t>
  </si>
  <si>
    <t>MTCJ8622-014</t>
  </si>
  <si>
    <t>MTCJ8623-014</t>
  </si>
  <si>
    <t>MTCJ8624-014</t>
  </si>
  <si>
    <t>MTCJ8625-014</t>
  </si>
  <si>
    <t>MTCJ8618-015</t>
  </si>
  <si>
    <t>MTCJ8620-015</t>
  </si>
  <si>
    <t>MTCJ8621-015</t>
  </si>
  <si>
    <t>MTCJ8622-015</t>
  </si>
  <si>
    <t>MTCJ8623-015</t>
  </si>
  <si>
    <t>MTCJ8624-015</t>
  </si>
  <si>
    <t>MTCJ8625-015</t>
  </si>
  <si>
    <t>MTCJ8618-016</t>
  </si>
  <si>
    <t>MTCJ8620-016</t>
  </si>
  <si>
    <t>MTCJ8621-016</t>
  </si>
  <si>
    <t>MTCJ8622-016</t>
  </si>
  <si>
    <t>MTCJ8623-016</t>
  </si>
  <si>
    <t>MTCJ8624-016</t>
  </si>
  <si>
    <t>MTCJ8625-016</t>
  </si>
  <si>
    <t>MTCJ8620-017</t>
  </si>
  <si>
    <t>MTCJ8621-017</t>
  </si>
  <si>
    <t>MTCJ8622-017</t>
  </si>
  <si>
    <t>MTCJ8623-017</t>
  </si>
  <si>
    <t>MTCJ8624-017</t>
  </si>
  <si>
    <t>MTCJ8625-017</t>
  </si>
  <si>
    <t>MTCJ8620-018</t>
  </si>
  <si>
    <t>MTCJ8621-018</t>
  </si>
  <si>
    <t>MTCJ8622-018</t>
  </si>
  <si>
    <t>MTCJ8623-018</t>
  </si>
  <si>
    <t>MTCJ8624-018</t>
  </si>
  <si>
    <t>MTCJ8625-018</t>
  </si>
  <si>
    <t>MTCJ8620-019</t>
  </si>
  <si>
    <t>MTCJ8621-019</t>
  </si>
  <si>
    <t>MTCJ8622-019</t>
  </si>
  <si>
    <t>MTCJ8623-019</t>
  </si>
  <si>
    <t>MTCJ8624-019</t>
  </si>
  <si>
    <t>MTCJ8625-019</t>
  </si>
  <si>
    <t>MTCJ8620-020</t>
  </si>
  <si>
    <t>MTCJ8621-020</t>
  </si>
  <si>
    <t>MTCJ8622-020</t>
  </si>
  <si>
    <t>MTCJ8623-020</t>
  </si>
  <si>
    <t>MTCJ8624-020</t>
  </si>
  <si>
    <t>MTCJ8625-020</t>
  </si>
  <si>
    <t>MTCJ8620-021</t>
  </si>
  <si>
    <t>MTCJ8621-021</t>
  </si>
  <si>
    <t>MTCJ8622-021</t>
  </si>
  <si>
    <t>MTCJ8623-021</t>
  </si>
  <si>
    <t>MTCJ8624-021</t>
  </si>
  <si>
    <t>MTCJ8625-021</t>
  </si>
  <si>
    <t>MTCJ8620-022</t>
  </si>
  <si>
    <t>MTCJ8621-022</t>
  </si>
  <si>
    <t>MTCJ8622-022</t>
  </si>
  <si>
    <t>MTCJ8623-022</t>
  </si>
  <si>
    <t>MTCJ8624-022</t>
  </si>
  <si>
    <t>MTCJ8625-022</t>
  </si>
  <si>
    <t>MTCJ8620-023</t>
  </si>
  <si>
    <t>MTCJ8621-023</t>
  </si>
  <si>
    <t>MTCJ8622-023</t>
  </si>
  <si>
    <t>MTCJ8623-023</t>
  </si>
  <si>
    <t>MTCJ8624-023</t>
  </si>
  <si>
    <t>MTCJ8625-023</t>
  </si>
  <si>
    <t>MTCJ8620-024</t>
  </si>
  <si>
    <t>MTCJ8621-024</t>
  </si>
  <si>
    <t>MTCJ8622-024</t>
  </si>
  <si>
    <t>MTCJ8623-024</t>
  </si>
  <si>
    <t>MTCJ8624-024</t>
  </si>
  <si>
    <t>MTCJ8625-024</t>
  </si>
  <si>
    <t>MTCJ8620-025</t>
  </si>
  <si>
    <t>MTCJ8621-025</t>
  </si>
  <si>
    <t>MTCJ8622-025</t>
  </si>
  <si>
    <t>MTCJ8623-025</t>
  </si>
  <si>
    <t>MTCJ8624-025</t>
  </si>
  <si>
    <t>MTCJ8625-025</t>
  </si>
  <si>
    <t>MTCJ8621-026</t>
  </si>
  <si>
    <t>MTCJ8623-026</t>
  </si>
  <si>
    <t>MTCJ8624-026</t>
  </si>
  <si>
    <t>MTCJ8625-026</t>
  </si>
  <si>
    <t>MTCJ8621-027</t>
  </si>
  <si>
    <t>MTCJ8623-027</t>
  </si>
  <si>
    <t>MTCJ8624-027</t>
  </si>
  <si>
    <t>MTCJ8621-028</t>
  </si>
  <si>
    <t>MTCJ8623-028</t>
  </si>
  <si>
    <t>MTCJ8624-028</t>
  </si>
  <si>
    <t>MTCJ8621-029</t>
  </si>
  <si>
    <t>MTCJ8623-029</t>
  </si>
  <si>
    <t>MTCJ8624-029</t>
  </si>
  <si>
    <t>MTCJ8621-030</t>
  </si>
  <si>
    <t>MTCJ8623-030</t>
  </si>
  <si>
    <t>MTCJ8624-030</t>
  </si>
  <si>
    <t>MTCJ8621-031</t>
  </si>
  <si>
    <t>MTCJ8621-032</t>
  </si>
  <si>
    <t>MTCJ8621-033</t>
  </si>
  <si>
    <t>Salamandra Front Section</t>
  </si>
  <si>
    <t>Salamandra Rear Section</t>
  </si>
  <si>
    <t>No</t>
  </si>
  <si>
    <r>
      <rPr>
        <sz val="12"/>
        <color theme="1"/>
        <rFont val="Times New Roman Regular"/>
        <charset val="134"/>
      </rPr>
      <t>Front Panel Sub Line</t>
    </r>
    <r>
      <rPr>
        <sz val="12"/>
        <color theme="1"/>
        <rFont val="微软雅黑"/>
        <charset val="134"/>
      </rPr>
      <t>【</t>
    </r>
    <r>
      <rPr>
        <sz val="12"/>
        <color theme="1"/>
        <rFont val="Times New Roman Regular"/>
        <charset val="134"/>
      </rPr>
      <t>16pcs</t>
    </r>
    <r>
      <rPr>
        <sz val="12"/>
        <color theme="1"/>
        <rFont val="微软雅黑"/>
        <charset val="134"/>
      </rPr>
      <t>】</t>
    </r>
  </si>
  <si>
    <r>
      <rPr>
        <sz val="12"/>
        <color theme="1"/>
        <rFont val="Times New Roman Regular"/>
        <charset val="134"/>
      </rPr>
      <t xml:space="preserve">Front Section Main Line </t>
    </r>
    <r>
      <rPr>
        <sz val="12"/>
        <color theme="1"/>
        <rFont val="微软雅黑"/>
        <charset val="134"/>
      </rPr>
      <t>【</t>
    </r>
    <r>
      <rPr>
        <sz val="12"/>
        <color theme="1"/>
        <rFont val="Times New Roman Regular"/>
        <charset val="134"/>
      </rPr>
      <t>50pcs</t>
    </r>
    <r>
      <rPr>
        <sz val="12"/>
        <color theme="1"/>
        <rFont val="微软雅黑"/>
        <charset val="134"/>
      </rPr>
      <t>】</t>
    </r>
  </si>
  <si>
    <r>
      <rPr>
        <sz val="12"/>
        <color theme="1"/>
        <rFont val="Times New Roman Regular"/>
        <charset val="134"/>
      </rPr>
      <t xml:space="preserve">Front Section Main Line </t>
    </r>
    <r>
      <rPr>
        <sz val="12"/>
        <color theme="1"/>
        <rFont val="微软雅黑"/>
        <charset val="134"/>
      </rPr>
      <t>（</t>
    </r>
    <r>
      <rPr>
        <sz val="12"/>
        <color theme="1"/>
        <rFont val="Times New Roman Regular"/>
        <charset val="134"/>
      </rPr>
      <t>OSFP and IO SA Transfer Conveyor</t>
    </r>
    <r>
      <rPr>
        <sz val="12"/>
        <color theme="1"/>
        <rFont val="微软雅黑"/>
        <charset val="134"/>
      </rPr>
      <t>）【</t>
    </r>
    <r>
      <rPr>
        <sz val="12"/>
        <color theme="1"/>
        <rFont val="Times New Roman Regular"/>
        <charset val="134"/>
      </rPr>
      <t>10pcs</t>
    </r>
    <r>
      <rPr>
        <sz val="12"/>
        <color theme="1"/>
        <rFont val="微软雅黑"/>
        <charset val="134"/>
      </rPr>
      <t>】</t>
    </r>
  </si>
  <si>
    <r>
      <rPr>
        <sz val="12"/>
        <color theme="1"/>
        <rFont val="Times New Roman Regular"/>
        <charset val="134"/>
      </rPr>
      <t xml:space="preserve">Rear Section-MGMT Sub Line </t>
    </r>
    <r>
      <rPr>
        <sz val="12"/>
        <color theme="1"/>
        <rFont val="微软雅黑"/>
        <charset val="134"/>
      </rPr>
      <t>【</t>
    </r>
    <r>
      <rPr>
        <sz val="12"/>
        <color theme="1"/>
        <rFont val="Times New Roman Regular"/>
        <charset val="134"/>
      </rPr>
      <t>20pcs</t>
    </r>
    <r>
      <rPr>
        <sz val="12"/>
        <color theme="1"/>
        <rFont val="微软雅黑"/>
        <charset val="134"/>
      </rPr>
      <t>】</t>
    </r>
  </si>
  <si>
    <r>
      <rPr>
        <sz val="12"/>
        <color theme="1"/>
        <rFont val="Times New Roman Regular"/>
        <charset val="134"/>
      </rPr>
      <t xml:space="preserve">Rear Section Main Line </t>
    </r>
    <r>
      <rPr>
        <sz val="12"/>
        <color theme="1"/>
        <rFont val="微软雅黑"/>
        <charset val="134"/>
      </rPr>
      <t>【</t>
    </r>
    <r>
      <rPr>
        <sz val="12"/>
        <color theme="1"/>
        <rFont val="Times New Roman Regular"/>
        <charset val="134"/>
      </rPr>
      <t>45pcs</t>
    </r>
    <r>
      <rPr>
        <sz val="12"/>
        <color theme="1"/>
        <rFont val="微软雅黑"/>
        <charset val="134"/>
      </rPr>
      <t>】</t>
    </r>
  </si>
  <si>
    <t>MTCJ8596</t>
  </si>
  <si>
    <t>MTCJ8597</t>
  </si>
  <si>
    <t>MTCJ8598</t>
  </si>
  <si>
    <t>MTCJ8599</t>
  </si>
  <si>
    <t>MTCJ8600</t>
  </si>
  <si>
    <t>SALAMANDRA - FRONT PANEL CARRIER FOR AUTOMATION ASSEMBLY FIXTURE</t>
  </si>
  <si>
    <t>SALAMANDRA - FRONT SECTION CARRIER FOR AUTOMATION ASSEMBLY FIXTURE</t>
  </si>
  <si>
    <t>SALAMANDRA - OSFP CARRIER FOR AUTOMATION ASSEMBLY FIXTURES</t>
  </si>
  <si>
    <t>SALAMANDRA - MGMT CARRIER FOR AUTOMATION ASSEMBLY FIXTURES</t>
  </si>
  <si>
    <t>SALAMANDRA - REAR SECTION CARRIER FOR AUTOMATION ASSEMBLY FIXTURE</t>
  </si>
  <si>
    <t>MTCJ8596-001</t>
  </si>
  <si>
    <t>MTCJ8597-001</t>
  </si>
  <si>
    <t>MTCJ8598-001</t>
  </si>
  <si>
    <t>MTCJ8599-001</t>
  </si>
  <si>
    <t>MTCJ8600-001</t>
  </si>
  <si>
    <t>MTCJ8596-002</t>
  </si>
  <si>
    <t>MTCJ8597-002</t>
  </si>
  <si>
    <t>MTCJ8598-002</t>
  </si>
  <si>
    <t>MTCJ8599-002</t>
  </si>
  <si>
    <t>MTCJ8600-002</t>
  </si>
  <si>
    <t>MTCJ8596-003</t>
  </si>
  <si>
    <t>MTCJ8597-003</t>
  </si>
  <si>
    <t>MTCJ8598-003</t>
  </si>
  <si>
    <t>MTCJ8599-003</t>
  </si>
  <si>
    <t>MTCJ8600-003</t>
  </si>
  <si>
    <t>MTCJ8596-004</t>
  </si>
  <si>
    <t>MTCJ8597-004</t>
  </si>
  <si>
    <t>MTCJ8598-004</t>
  </si>
  <si>
    <t>MTCJ8599-004</t>
  </si>
  <si>
    <t>MTCJ8600-004</t>
  </si>
  <si>
    <t>MTCJ8596-005</t>
  </si>
  <si>
    <t>MTCJ8597-005</t>
  </si>
  <si>
    <t>MTCJ8598-005</t>
  </si>
  <si>
    <t>MTCJ8599-005</t>
  </si>
  <si>
    <t>MTCJ8600-005</t>
  </si>
  <si>
    <t>MTCJ8596-006</t>
  </si>
  <si>
    <t>MTCJ8597-006</t>
  </si>
  <si>
    <t>MTCJ8598-006</t>
  </si>
  <si>
    <t>MTCJ8599-006</t>
  </si>
  <si>
    <t>MTCJ8600-006</t>
  </si>
  <si>
    <t>MTCJ8596-007</t>
  </si>
  <si>
    <t>MTCJ8597-007</t>
  </si>
  <si>
    <t>MTCJ8598-007</t>
  </si>
  <si>
    <t>MTCJ8599-007</t>
  </si>
  <si>
    <t>MTCJ8600-007</t>
  </si>
  <si>
    <t>MTCJ8596-008</t>
  </si>
  <si>
    <t>MTCJ8597-008</t>
  </si>
  <si>
    <t>MTCJ8598-008</t>
  </si>
  <si>
    <t>MTCJ8599-008</t>
  </si>
  <si>
    <t>MTCJ8600-008</t>
  </si>
  <si>
    <t>MTCJ8596-009</t>
  </si>
  <si>
    <t>MTCJ8597-009</t>
  </si>
  <si>
    <t>MTCJ8598-009</t>
  </si>
  <si>
    <t>MTCJ8599-009</t>
  </si>
  <si>
    <t>MTCJ8600-009</t>
  </si>
  <si>
    <t>MTCJ8596-010</t>
  </si>
  <si>
    <t>MTCJ8597-010</t>
  </si>
  <si>
    <t>MTCJ8598-010</t>
  </si>
  <si>
    <t>MTCJ8599-010</t>
  </si>
  <si>
    <t>MTCJ8600-010</t>
  </si>
  <si>
    <t>MTCJ8596-011</t>
  </si>
  <si>
    <t>MTCJ8597-011</t>
  </si>
  <si>
    <t>MTCJ8599-011</t>
  </si>
  <si>
    <t>MTCJ8600-011</t>
  </si>
  <si>
    <t>MTCJ8596-012</t>
  </si>
  <si>
    <t>MTCJ8597-012</t>
  </si>
  <si>
    <t>MTCJ8599-012</t>
  </si>
  <si>
    <t>MTCJ8600-012</t>
  </si>
  <si>
    <t>MTCJ8596-013</t>
  </si>
  <si>
    <t>MTCJ8597-013</t>
  </si>
  <si>
    <t>MTCJ8599-013</t>
  </si>
  <si>
    <t>MTCJ8600-013</t>
  </si>
  <si>
    <t>MTCJ8596-014</t>
  </si>
  <si>
    <t>MTCJ8597-014</t>
  </si>
  <si>
    <t>MTCJ8599-014</t>
  </si>
  <si>
    <t>MTCJ8600-014</t>
  </si>
  <si>
    <t>MTCJ8596-015</t>
  </si>
  <si>
    <t>MTCJ8597-015</t>
  </si>
  <si>
    <t>MTCJ8599-015</t>
  </si>
  <si>
    <t>MTCJ8600-015</t>
  </si>
  <si>
    <t>MTCJ8596-016</t>
  </si>
  <si>
    <t>MTCJ8597-016</t>
  </si>
  <si>
    <t>MTCJ8599-016</t>
  </si>
  <si>
    <t>MTCJ8600-016</t>
  </si>
  <si>
    <t>MTCJ8597-017</t>
  </si>
  <si>
    <t>MTCJ8599-017</t>
  </si>
  <si>
    <t>MTCJ8600-017</t>
  </si>
  <si>
    <t>MTCJ8597-018</t>
  </si>
  <si>
    <t>MTCJ8599-018</t>
  </si>
  <si>
    <t>MTCJ8600-018</t>
  </si>
  <si>
    <t>MTCJ8597-019</t>
  </si>
  <si>
    <t>MTCJ8599-019</t>
  </si>
  <si>
    <t>MTCJ8600-019</t>
  </si>
  <si>
    <t>MTCJ8597-020</t>
  </si>
  <si>
    <t>MTCJ8599-020</t>
  </si>
  <si>
    <t>MTCJ8600-020</t>
  </si>
  <si>
    <t>MTCJ8597-021</t>
  </si>
  <si>
    <t>MTCJ8600-021</t>
  </si>
  <si>
    <t>MTCJ8597-022</t>
  </si>
  <si>
    <t>MTCJ8600-022</t>
  </si>
  <si>
    <t>MTCJ8597-023</t>
  </si>
  <si>
    <t>MTCJ8600-023</t>
  </si>
  <si>
    <t>MTCJ8597-024</t>
  </si>
  <si>
    <t>MTCJ8600-024</t>
  </si>
  <si>
    <t>MTCJ8597-025</t>
  </si>
  <si>
    <t>MTCJ8600-025</t>
  </si>
  <si>
    <t>MTCJ8597-026</t>
  </si>
  <si>
    <t>MTCJ8600-026</t>
  </si>
  <si>
    <t>MTCJ8597-027</t>
  </si>
  <si>
    <t>MTCJ8600-027</t>
  </si>
  <si>
    <t>MTCJ8597-028</t>
  </si>
  <si>
    <t>MTCJ8600-028</t>
  </si>
  <si>
    <t>MTCJ8597-029</t>
  </si>
  <si>
    <t>MTCJ8600-029</t>
  </si>
  <si>
    <t>MTCJ8597-030</t>
  </si>
  <si>
    <t>MTCJ8600-030</t>
  </si>
  <si>
    <t>MTCJ8597-031</t>
  </si>
  <si>
    <t>MTCJ8600-031</t>
  </si>
  <si>
    <t>MTCJ8597-032</t>
  </si>
  <si>
    <t>MTCJ8600-032</t>
  </si>
  <si>
    <t>MTCJ8597-033</t>
  </si>
  <si>
    <t>MTCJ8600-033</t>
  </si>
  <si>
    <t>MTCJ8597-034</t>
  </si>
  <si>
    <t>MTCJ8600-034</t>
  </si>
  <si>
    <t>MTCJ8597-035</t>
  </si>
  <si>
    <t>MTCJ8600-035</t>
  </si>
  <si>
    <t>MTCJ8597-036</t>
  </si>
  <si>
    <t>MTCJ8600-036</t>
  </si>
  <si>
    <t>MTCJ8597-037</t>
  </si>
  <si>
    <t>MTCJ8600-037</t>
  </si>
  <si>
    <t>MTCJ8597-038</t>
  </si>
  <si>
    <t>MTCJ8600-038</t>
  </si>
  <si>
    <t>MTCJ8597-039</t>
  </si>
  <si>
    <t>MTCJ8600-039</t>
  </si>
  <si>
    <t>MTCJ8597-040</t>
  </si>
  <si>
    <t>MTCJ8600-040</t>
  </si>
  <si>
    <t>MTCJ8597-041</t>
  </si>
  <si>
    <t>MTCJ8600-041</t>
  </si>
  <si>
    <t>MTCJ8597-042</t>
  </si>
  <si>
    <t>MTCJ8600-042</t>
  </si>
  <si>
    <t>MTCJ8597-043</t>
  </si>
  <si>
    <t>MTCJ8600-043</t>
  </si>
  <si>
    <t>MTCJ8597-044</t>
  </si>
  <si>
    <t>MTCJ8600-044</t>
  </si>
  <si>
    <t>MTCJ8597-045</t>
  </si>
  <si>
    <t>MTCJ8600-045</t>
  </si>
  <si>
    <t>MTCJ8597-046</t>
  </si>
  <si>
    <t>MTCJ8597-047</t>
  </si>
  <si>
    <t>MTCJ8597-048</t>
  </si>
  <si>
    <t>MTCJ8597-049</t>
  </si>
  <si>
    <t>MTCJ8597-050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</si>
</sst>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;@"/>
    <numFmt numFmtId="179" formatCode="m&quot;月&quot;d&quot;日&quot;;@"/>
    <numFmt numFmtId="180" formatCode="yyyy/m/d;@"/>
  </numFmts>
  <fonts count="67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sz val="12"/>
      <color theme="1"/>
      <name val="Times New Roman Regular"/>
      <charset val="134"/>
    </font>
    <font>
      <sz val="9"/>
      <color theme="1"/>
      <name val="微软雅黑"/>
      <charset val="134"/>
    </font>
    <font>
      <sz val="9"/>
      <color theme="1"/>
      <name val="Times New Roman Regular"/>
      <charset val="134"/>
    </font>
    <font>
      <sz val="12"/>
      <name val="Arial"/>
      <charset val="134"/>
    </font>
    <font>
      <sz val="9"/>
      <color rgb="FFFF0000"/>
      <name val="微软雅黑"/>
      <charset val="134"/>
    </font>
    <font>
      <b/>
      <sz val="15"/>
      <color theme="1"/>
      <name val="微软雅黑"/>
      <charset val="134"/>
    </font>
    <font>
      <b/>
      <sz val="9"/>
      <color theme="1"/>
      <name val="Times New Roman Regular"/>
      <charset val="134"/>
    </font>
    <font>
      <sz val="9"/>
      <color theme="1"/>
      <name val="宋体"/>
      <charset val="134"/>
    </font>
    <font>
      <b/>
      <i/>
      <sz val="18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8"/>
      <color rgb="FF000000"/>
      <name val="Calibri"/>
      <charset val="134"/>
      <scheme val="minor"/>
    </font>
    <font>
      <b/>
      <sz val="8"/>
      <color rgb="FF000000"/>
      <name val="Calibri"/>
      <charset val="134"/>
      <scheme val="minor"/>
    </font>
    <font>
      <sz val="8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name val="Arial"/>
      <charset val="134"/>
    </font>
    <font>
      <b/>
      <sz val="14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b/>
      <sz val="16"/>
      <name val="Arial"/>
      <charset val="134"/>
    </font>
    <font>
      <b/>
      <sz val="11"/>
      <name val="Microsoft JhengHei"/>
      <charset val="134"/>
    </font>
    <font>
      <sz val="12"/>
      <color theme="1"/>
      <name val="Arial"/>
      <charset val="134"/>
    </font>
    <font>
      <b/>
      <sz val="12"/>
      <name val="Arial"/>
      <charset val="134"/>
    </font>
    <font>
      <b/>
      <sz val="20"/>
      <name val="Arial"/>
      <charset val="134"/>
    </font>
    <font>
      <sz val="12"/>
      <color rgb="FFFF0000"/>
      <name val="Arial"/>
      <charset val="134"/>
    </font>
    <font>
      <sz val="20"/>
      <color theme="1"/>
      <name val="Arial"/>
      <charset val="134"/>
    </font>
    <font>
      <sz val="14"/>
      <color theme="1"/>
      <name val="微软雅黑"/>
      <charset val="134"/>
    </font>
    <font>
      <b/>
      <sz val="14"/>
      <color theme="1"/>
      <name val="Arial"/>
      <charset val="134"/>
    </font>
    <font>
      <sz val="14"/>
      <color theme="1"/>
      <name val="Arial"/>
      <charset val="134"/>
    </font>
    <font>
      <sz val="18"/>
      <name val="Arial"/>
      <charset val="134"/>
    </font>
    <font>
      <b/>
      <sz val="18"/>
      <name val="Arial"/>
      <charset val="134"/>
    </font>
    <font>
      <sz val="10"/>
      <color theme="1"/>
      <name val="Calibri"/>
      <charset val="134"/>
      <scheme val="minor"/>
    </font>
    <font>
      <sz val="14"/>
      <name val="Arial"/>
      <charset val="134"/>
    </font>
    <font>
      <b/>
      <sz val="2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6"/>
      <scheme val="minor"/>
    </font>
    <font>
      <sz val="12"/>
      <color theme="1"/>
      <name val="宋体-简"/>
      <charset val="134"/>
    </font>
    <font>
      <sz val="10"/>
      <color rgb="FFFF0000"/>
      <name val="Arial"/>
      <charset val="134"/>
    </font>
    <font>
      <b/>
      <sz val="11"/>
      <name val="微軟正黑體"/>
      <charset val="136"/>
    </font>
    <font>
      <sz val="12"/>
      <color theme="1"/>
      <name val="Microsoft YaHei"/>
      <charset val="134"/>
    </font>
    <font>
      <sz val="12"/>
      <name val="宋体-简"/>
      <charset val="134"/>
    </font>
    <font>
      <sz val="12"/>
      <name val="Microsoft YaHei"/>
      <charset val="134"/>
    </font>
    <font>
      <sz val="8"/>
      <color rgb="FF000000"/>
      <name val="Microsoft YaHei"/>
      <charset val="134"/>
    </font>
    <font>
      <sz val="14"/>
      <color rgb="FFFF0000"/>
      <name val="Arial"/>
      <charset val="134"/>
    </font>
    <font>
      <sz val="9"/>
      <color rgb="FFFF0000"/>
      <name val="Times New Roman Regular"/>
      <charset val="134"/>
    </font>
    <font>
      <sz val="9"/>
      <color theme="1"/>
      <name val="宋体-简"/>
      <charset val="134"/>
    </font>
    <font>
      <b/>
      <sz val="9"/>
      <name val="Tahoma"/>
      <charset val="134"/>
    </font>
    <font>
      <sz val="9"/>
      <name val="Tahoma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4" borderId="68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69" applyNumberFormat="0" applyFill="0" applyAlignment="0" applyProtection="0">
      <alignment vertical="center"/>
    </xf>
    <xf numFmtId="0" fontId="41" fillId="0" borderId="69" applyNumberFormat="0" applyFill="0" applyAlignment="0" applyProtection="0">
      <alignment vertical="center"/>
    </xf>
    <xf numFmtId="0" fontId="42" fillId="0" borderId="70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5" borderId="71" applyNumberFormat="0" applyAlignment="0" applyProtection="0">
      <alignment vertical="center"/>
    </xf>
    <xf numFmtId="0" fontId="44" fillId="16" borderId="72" applyNumberFormat="0" applyAlignment="0" applyProtection="0">
      <alignment vertical="center"/>
    </xf>
    <xf numFmtId="0" fontId="45" fillId="16" borderId="71" applyNumberFormat="0" applyAlignment="0" applyProtection="0">
      <alignment vertical="center"/>
    </xf>
    <xf numFmtId="0" fontId="46" fillId="17" borderId="73" applyNumberFormat="0" applyAlignment="0" applyProtection="0">
      <alignment vertical="center"/>
    </xf>
    <xf numFmtId="0" fontId="47" fillId="0" borderId="74" applyNumberFormat="0" applyFill="0" applyAlignment="0" applyProtection="0">
      <alignment vertical="center"/>
    </xf>
    <xf numFmtId="0" fontId="48" fillId="0" borderId="75" applyNumberFormat="0" applyFill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32" fillId="0" borderId="0">
      <alignment vertical="center"/>
    </xf>
    <xf numFmtId="0" fontId="54" fillId="0" borderId="0"/>
  </cellStyleXfs>
  <cellXfs count="36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>
      <alignment vertical="center"/>
    </xf>
    <xf numFmtId="0" fontId="3" fillId="5" borderId="5" xfId="49" applyFont="1" applyFill="1" applyBorder="1" applyAlignment="1">
      <alignment horizontal="center" vertical="center"/>
    </xf>
    <xf numFmtId="0" fontId="3" fillId="5" borderId="6" xfId="49" applyFont="1" applyFill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5" borderId="8" xfId="49" applyFont="1" applyFill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 wrapText="1"/>
    </xf>
    <xf numFmtId="0" fontId="3" fillId="2" borderId="7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3" fillId="5" borderId="9" xfId="49" applyFont="1" applyFill="1" applyBorder="1" applyAlignment="1">
      <alignment horizontal="center" vertical="center"/>
    </xf>
    <xf numFmtId="0" fontId="4" fillId="0" borderId="10" xfId="49" applyFont="1" applyBorder="1" applyAlignment="1">
      <alignment horizontal="center" vertical="center"/>
    </xf>
    <xf numFmtId="0" fontId="4" fillId="0" borderId="6" xfId="49" applyFont="1" applyBorder="1" applyAlignment="1">
      <alignment horizontal="center" vertical="center" wrapText="1"/>
    </xf>
    <xf numFmtId="0" fontId="4" fillId="0" borderId="11" xfId="49" applyFont="1" applyBorder="1" applyAlignment="1">
      <alignment horizontal="center" vertical="center"/>
    </xf>
    <xf numFmtId="0" fontId="3" fillId="0" borderId="12" xfId="49" applyFont="1" applyBorder="1">
      <alignment vertical="center"/>
    </xf>
    <xf numFmtId="0" fontId="4" fillId="0" borderId="12" xfId="49" applyFont="1" applyBorder="1" applyAlignment="1">
      <alignment vertical="center" wrapText="1"/>
    </xf>
    <xf numFmtId="0" fontId="3" fillId="6" borderId="13" xfId="49" applyFont="1" applyFill="1" applyBorder="1" applyAlignment="1">
      <alignment horizontal="center" vertical="center"/>
    </xf>
    <xf numFmtId="58" fontId="5" fillId="0" borderId="1" xfId="0" applyNumberFormat="1" applyFont="1" applyFill="1" applyBorder="1" applyAlignment="1">
      <alignment horizontal="center" vertical="center" wrapText="1"/>
    </xf>
    <xf numFmtId="0" fontId="6" fillId="6" borderId="1" xfId="49" applyFont="1" applyFill="1" applyBorder="1" applyAlignment="1">
      <alignment horizontal="center" vertical="center" wrapText="1"/>
    </xf>
    <xf numFmtId="0" fontId="3" fillId="6" borderId="14" xfId="49" applyFont="1" applyFill="1" applyBorder="1" applyAlignment="1">
      <alignment horizontal="center" vertical="center" wrapText="1"/>
    </xf>
    <xf numFmtId="0" fontId="4" fillId="6" borderId="15" xfId="49" applyFont="1" applyFill="1" applyBorder="1" applyAlignment="1">
      <alignment horizontal="center" vertical="center"/>
    </xf>
    <xf numFmtId="0" fontId="4" fillId="6" borderId="1" xfId="49" applyFont="1" applyFill="1" applyBorder="1" applyAlignment="1">
      <alignment horizontal="center" vertical="center" wrapText="1"/>
    </xf>
    <xf numFmtId="0" fontId="1" fillId="0" borderId="16" xfId="49" applyFont="1" applyBorder="1" applyAlignment="1">
      <alignment horizontal="center" vertical="center"/>
    </xf>
    <xf numFmtId="0" fontId="7" fillId="0" borderId="16" xfId="49" applyFont="1" applyBorder="1" applyAlignment="1">
      <alignment horizontal="center" vertical="center"/>
    </xf>
    <xf numFmtId="0" fontId="4" fillId="0" borderId="17" xfId="49" applyFont="1" applyBorder="1" applyAlignment="1">
      <alignment horizontal="center" vertical="center"/>
    </xf>
    <xf numFmtId="0" fontId="4" fillId="0" borderId="18" xfId="49" applyFont="1" applyBorder="1" applyAlignment="1">
      <alignment horizontal="center" vertical="center" wrapText="1"/>
    </xf>
    <xf numFmtId="0" fontId="4" fillId="0" borderId="19" xfId="49" applyFont="1" applyBorder="1" applyAlignment="1">
      <alignment horizontal="center" vertical="center"/>
    </xf>
    <xf numFmtId="0" fontId="4" fillId="0" borderId="1" xfId="49" applyFont="1" applyBorder="1">
      <alignment vertical="center"/>
    </xf>
    <xf numFmtId="0" fontId="4" fillId="6" borderId="20" xfId="49" applyFont="1" applyFill="1" applyBorder="1" applyAlignment="1">
      <alignment horizontal="center" vertical="center"/>
    </xf>
    <xf numFmtId="58" fontId="5" fillId="7" borderId="1" xfId="0" applyNumberFormat="1" applyFont="1" applyFill="1" applyBorder="1" applyAlignment="1">
      <alignment horizontal="center" vertical="center" wrapText="1"/>
    </xf>
    <xf numFmtId="0" fontId="3" fillId="6" borderId="18" xfId="49" applyFont="1" applyFill="1" applyBorder="1" applyAlignment="1">
      <alignment horizontal="center" vertical="center"/>
    </xf>
    <xf numFmtId="0" fontId="4" fillId="6" borderId="14" xfId="49" applyFont="1" applyFill="1" applyBorder="1" applyAlignment="1">
      <alignment horizontal="center" vertical="center"/>
    </xf>
    <xf numFmtId="0" fontId="4" fillId="6" borderId="1" xfId="49" applyFont="1" applyFill="1" applyBorder="1" applyAlignment="1">
      <alignment horizontal="left" vertical="center"/>
    </xf>
    <xf numFmtId="0" fontId="4" fillId="0" borderId="1" xfId="49" applyFont="1" applyFill="1" applyBorder="1" applyAlignment="1">
      <alignment horizontal="left" vertical="center"/>
    </xf>
    <xf numFmtId="0" fontId="1" fillId="0" borderId="21" xfId="49" applyFont="1" applyBorder="1" applyAlignment="1">
      <alignment horizontal="center" vertical="center"/>
    </xf>
    <xf numFmtId="0" fontId="7" fillId="0" borderId="21" xfId="49" applyFont="1" applyBorder="1" applyAlignment="1">
      <alignment horizontal="center" vertical="center"/>
    </xf>
    <xf numFmtId="0" fontId="3" fillId="6" borderId="20" xfId="49" applyFont="1" applyFill="1" applyBorder="1" applyAlignment="1">
      <alignment horizontal="center" vertical="center"/>
    </xf>
    <xf numFmtId="0" fontId="3" fillId="6" borderId="22" xfId="49" applyFont="1" applyFill="1" applyBorder="1" applyAlignment="1">
      <alignment horizontal="center" vertical="center"/>
    </xf>
    <xf numFmtId="0" fontId="3" fillId="6" borderId="1" xfId="49" applyFont="1" applyFill="1" applyBorder="1" applyAlignment="1">
      <alignment horizontal="center" vertical="center"/>
    </xf>
    <xf numFmtId="0" fontId="4" fillId="6" borderId="23" xfId="49" applyFont="1" applyFill="1" applyBorder="1" applyAlignment="1">
      <alignment horizontal="center" vertical="center"/>
    </xf>
    <xf numFmtId="0" fontId="4" fillId="6" borderId="1" xfId="49" applyFont="1" applyFill="1" applyBorder="1" applyAlignment="1">
      <alignment horizontal="left" vertical="center" wrapText="1"/>
    </xf>
    <xf numFmtId="0" fontId="4" fillId="0" borderId="1" xfId="49" applyFont="1" applyFill="1" applyBorder="1" applyAlignment="1">
      <alignment horizontal="left" vertical="center" wrapText="1"/>
    </xf>
    <xf numFmtId="0" fontId="4" fillId="0" borderId="24" xfId="49" applyFont="1" applyBorder="1" applyAlignment="1">
      <alignment horizontal="center" vertical="center"/>
    </xf>
    <xf numFmtId="0" fontId="4" fillId="0" borderId="25" xfId="49" applyFont="1" applyBorder="1" applyAlignment="1">
      <alignment horizontal="center" vertical="center" wrapText="1"/>
    </xf>
    <xf numFmtId="0" fontId="4" fillId="0" borderId="26" xfId="49" applyFont="1" applyBorder="1" applyAlignment="1">
      <alignment horizontal="center" vertical="center"/>
    </xf>
    <xf numFmtId="0" fontId="3" fillId="0" borderId="27" xfId="49" applyFont="1" applyBorder="1">
      <alignment vertical="center"/>
    </xf>
    <xf numFmtId="0" fontId="4" fillId="0" borderId="27" xfId="49" applyFont="1" applyBorder="1">
      <alignment vertical="center"/>
    </xf>
    <xf numFmtId="0" fontId="3" fillId="6" borderId="28" xfId="49" applyFont="1" applyFill="1" applyBorder="1" applyAlignment="1">
      <alignment horizontal="center" vertical="center"/>
    </xf>
    <xf numFmtId="0" fontId="3" fillId="6" borderId="1" xfId="49" applyFont="1" applyFill="1" applyBorder="1" applyAlignment="1">
      <alignment horizontal="center" vertical="center" wrapText="1"/>
    </xf>
    <xf numFmtId="0" fontId="3" fillId="6" borderId="23" xfId="49" applyFont="1" applyFill="1" applyBorder="1" applyAlignment="1">
      <alignment horizontal="center" vertical="center"/>
    </xf>
    <xf numFmtId="0" fontId="4" fillId="6" borderId="29" xfId="49" applyFont="1" applyFill="1" applyBorder="1" applyAlignment="1">
      <alignment horizontal="center" vertical="center"/>
    </xf>
    <xf numFmtId="0" fontId="1" fillId="0" borderId="30" xfId="49" applyFont="1" applyBorder="1" applyAlignment="1">
      <alignment horizontal="center" vertical="center"/>
    </xf>
    <xf numFmtId="0" fontId="7" fillId="0" borderId="30" xfId="49" applyFont="1" applyBorder="1" applyAlignment="1">
      <alignment horizontal="center" vertical="center"/>
    </xf>
    <xf numFmtId="0" fontId="4" fillId="0" borderId="13" xfId="49" applyFont="1" applyBorder="1" applyAlignment="1">
      <alignment horizontal="center" vertical="center"/>
    </xf>
    <xf numFmtId="0" fontId="4" fillId="0" borderId="5" xfId="49" applyFont="1" applyBorder="1" applyAlignment="1">
      <alignment horizontal="center" vertical="center" wrapText="1"/>
    </xf>
    <xf numFmtId="0" fontId="4" fillId="6" borderId="12" xfId="49" applyFont="1" applyFill="1" applyBorder="1">
      <alignment vertical="center"/>
    </xf>
    <xf numFmtId="0" fontId="7" fillId="0" borderId="8" xfId="49" applyFont="1" applyBorder="1" applyAlignment="1">
      <alignment horizontal="center" vertical="center"/>
    </xf>
    <xf numFmtId="0" fontId="4" fillId="0" borderId="20" xfId="49" applyFont="1" applyBorder="1" applyAlignment="1">
      <alignment horizontal="center" vertical="center"/>
    </xf>
    <xf numFmtId="0" fontId="4" fillId="0" borderId="31" xfId="49" applyFont="1" applyBorder="1" applyAlignment="1">
      <alignment horizontal="center" vertical="center" wrapText="1"/>
    </xf>
    <xf numFmtId="0" fontId="4" fillId="6" borderId="1" xfId="49" applyFont="1" applyFill="1" applyBorder="1">
      <alignment vertical="center"/>
    </xf>
    <xf numFmtId="0" fontId="3" fillId="6" borderId="18" xfId="49" applyFont="1" applyFill="1" applyBorder="1" applyAlignment="1">
      <alignment horizontal="center" vertical="center" wrapText="1"/>
    </xf>
    <xf numFmtId="0" fontId="4" fillId="6" borderId="32" xfId="49" applyFont="1" applyFill="1" applyBorder="1" applyAlignment="1">
      <alignment horizontal="center" vertical="center"/>
    </xf>
    <xf numFmtId="0" fontId="7" fillId="0" borderId="33" xfId="49" applyFont="1" applyBorder="1" applyAlignment="1">
      <alignment horizontal="center" vertical="center"/>
    </xf>
    <xf numFmtId="0" fontId="4" fillId="6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0" fontId="4" fillId="6" borderId="22" xfId="49" applyFont="1" applyFill="1" applyBorder="1" applyAlignment="1">
      <alignment horizontal="center" vertical="center"/>
    </xf>
    <xf numFmtId="0" fontId="4" fillId="6" borderId="1" xfId="49" applyFont="1" applyFill="1" applyBorder="1" applyAlignment="1">
      <alignment horizontal="center" vertical="center"/>
    </xf>
    <xf numFmtId="0" fontId="4" fillId="6" borderId="34" xfId="49" applyFont="1" applyFill="1" applyBorder="1" applyAlignment="1">
      <alignment horizontal="center" vertical="center"/>
    </xf>
    <xf numFmtId="0" fontId="4" fillId="6" borderId="3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4" fillId="0" borderId="1" xfId="49" applyFont="1" applyBorder="1" applyAlignment="1">
      <alignment horizontal="left" vertical="center" wrapText="1"/>
    </xf>
    <xf numFmtId="0" fontId="4" fillId="0" borderId="1" xfId="49" applyFont="1" applyBorder="1" applyAlignment="1">
      <alignment horizontal="left" vertical="center"/>
    </xf>
    <xf numFmtId="0" fontId="4" fillId="0" borderId="32" xfId="49" applyFont="1" applyBorder="1" applyAlignment="1">
      <alignment horizontal="center" vertical="center"/>
    </xf>
    <xf numFmtId="0" fontId="4" fillId="0" borderId="34" xfId="49" applyFont="1" applyBorder="1" applyAlignment="1">
      <alignment horizontal="center" vertical="center"/>
    </xf>
    <xf numFmtId="0" fontId="3" fillId="0" borderId="14" xfId="49" applyFont="1" applyBorder="1">
      <alignment vertical="center"/>
    </xf>
    <xf numFmtId="0" fontId="4" fillId="0" borderId="14" xfId="49" applyFont="1" applyBorder="1">
      <alignment vertical="center"/>
    </xf>
    <xf numFmtId="0" fontId="3" fillId="6" borderId="35" xfId="49" applyFont="1" applyFill="1" applyBorder="1" applyAlignment="1">
      <alignment horizontal="center" vertical="center"/>
    </xf>
    <xf numFmtId="0" fontId="7" fillId="0" borderId="36" xfId="49" applyFont="1" applyBorder="1" applyAlignment="1">
      <alignment horizontal="center" vertical="center"/>
    </xf>
    <xf numFmtId="0" fontId="4" fillId="0" borderId="37" xfId="49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0" fontId="4" fillId="0" borderId="11" xfId="49" applyFont="1" applyBorder="1">
      <alignment vertical="center"/>
    </xf>
    <xf numFmtId="0" fontId="4" fillId="0" borderId="12" xfId="49" applyFont="1" applyBorder="1">
      <alignment vertical="center"/>
    </xf>
    <xf numFmtId="0" fontId="4" fillId="6" borderId="13" xfId="49" applyFont="1" applyFill="1" applyBorder="1" applyAlignment="1">
      <alignment horizontal="center" vertical="center"/>
    </xf>
    <xf numFmtId="0" fontId="4" fillId="6" borderId="38" xfId="49" applyFont="1" applyFill="1" applyBorder="1" applyAlignment="1">
      <alignment horizontal="center" vertical="center"/>
    </xf>
    <xf numFmtId="0" fontId="0" fillId="0" borderId="15" xfId="0" applyFont="1" applyBorder="1" applyAlignment="1">
      <alignment vertical="center"/>
    </xf>
    <xf numFmtId="0" fontId="8" fillId="8" borderId="8" xfId="49" applyFont="1" applyFill="1" applyBorder="1" applyAlignment="1">
      <alignment horizontal="center" vertical="center"/>
    </xf>
    <xf numFmtId="0" fontId="4" fillId="0" borderId="28" xfId="49" applyFont="1" applyBorder="1" applyAlignment="1">
      <alignment horizontal="center" vertical="center"/>
    </xf>
    <xf numFmtId="0" fontId="4" fillId="0" borderId="39" xfId="49" applyFont="1" applyBorder="1" applyAlignment="1">
      <alignment horizontal="center" vertical="center" wrapText="1"/>
    </xf>
    <xf numFmtId="0" fontId="3" fillId="0" borderId="40" xfId="49" applyFont="1" applyBorder="1">
      <alignment vertical="center"/>
    </xf>
    <xf numFmtId="0" fontId="4" fillId="0" borderId="41" xfId="49" applyFont="1" applyBorder="1" applyAlignment="1">
      <alignment horizontal="center" vertical="center"/>
    </xf>
    <xf numFmtId="0" fontId="3" fillId="6" borderId="23" xfId="49" applyFont="1" applyFill="1" applyBorder="1" applyAlignment="1">
      <alignment horizontal="center" vertical="center" wrapText="1"/>
    </xf>
    <xf numFmtId="0" fontId="0" fillId="0" borderId="29" xfId="0" applyFont="1" applyBorder="1" applyAlignment="1">
      <alignment vertical="center"/>
    </xf>
    <xf numFmtId="0" fontId="8" fillId="8" borderId="36" xfId="49" applyFont="1" applyFill="1" applyBorder="1" applyAlignment="1">
      <alignment horizontal="center" vertical="center"/>
    </xf>
    <xf numFmtId="0" fontId="4" fillId="0" borderId="42" xfId="49" applyFont="1" applyBorder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4" fillId="0" borderId="0" xfId="49" applyFont="1" applyBorder="1" applyAlignment="1">
      <alignment horizontal="center" vertical="center"/>
    </xf>
    <xf numFmtId="0" fontId="1" fillId="0" borderId="0" xfId="49" applyFont="1">
      <alignment vertical="center"/>
    </xf>
    <xf numFmtId="0" fontId="4" fillId="6" borderId="43" xfId="49" applyFont="1" applyFill="1" applyBorder="1" applyAlignment="1">
      <alignment horizontal="center" vertical="center"/>
    </xf>
    <xf numFmtId="0" fontId="4" fillId="6" borderId="1" xfId="49" applyFont="1" applyFill="1" applyBorder="1" applyAlignment="1">
      <alignment vertical="center" wrapText="1"/>
    </xf>
    <xf numFmtId="0" fontId="4" fillId="0" borderId="15" xfId="49" applyFont="1" applyBorder="1" applyAlignment="1">
      <alignment horizontal="center" vertical="center"/>
    </xf>
    <xf numFmtId="0" fontId="4" fillId="6" borderId="44" xfId="49" applyFont="1" applyFill="1" applyBorder="1" applyAlignment="1">
      <alignment horizontal="center" vertical="center"/>
    </xf>
    <xf numFmtId="0" fontId="4" fillId="0" borderId="45" xfId="49" applyFont="1" applyBorder="1" applyAlignment="1">
      <alignment horizontal="center" vertical="center"/>
    </xf>
    <xf numFmtId="0" fontId="4" fillId="0" borderId="1" xfId="49" applyFont="1" applyBorder="1" applyAlignment="1">
      <alignment vertical="center" wrapText="1"/>
    </xf>
    <xf numFmtId="0" fontId="4" fillId="0" borderId="27" xfId="49" applyFont="1" applyBorder="1" applyAlignment="1">
      <alignment vertical="center" wrapText="1"/>
    </xf>
    <xf numFmtId="0" fontId="4" fillId="6" borderId="46" xfId="49" applyFont="1" applyFill="1" applyBorder="1" applyAlignment="1">
      <alignment horizontal="center" vertical="center"/>
    </xf>
    <xf numFmtId="0" fontId="4" fillId="0" borderId="29" xfId="49" applyFont="1" applyBorder="1" applyAlignment="1">
      <alignment horizontal="center" vertical="center"/>
    </xf>
    <xf numFmtId="0" fontId="4" fillId="0" borderId="47" xfId="49" applyFont="1" applyBorder="1" applyAlignment="1">
      <alignment horizontal="center" vertical="center"/>
    </xf>
    <xf numFmtId="0" fontId="4" fillId="2" borderId="10" xfId="49" applyFont="1" applyFill="1" applyBorder="1" applyAlignment="1">
      <alignment horizontal="center" vertical="center"/>
    </xf>
    <xf numFmtId="0" fontId="4" fillId="0" borderId="23" xfId="49" applyFont="1" applyBorder="1">
      <alignment vertical="center"/>
    </xf>
    <xf numFmtId="0" fontId="4" fillId="6" borderId="33" xfId="49" applyFont="1" applyFill="1" applyBorder="1" applyAlignment="1">
      <alignment horizontal="center" vertical="center" wrapText="1"/>
    </xf>
    <xf numFmtId="0" fontId="4" fillId="6" borderId="37" xfId="49" applyFont="1" applyFill="1" applyBorder="1" applyAlignment="1">
      <alignment horizontal="center" vertical="center"/>
    </xf>
    <xf numFmtId="0" fontId="4" fillId="6" borderId="33" xfId="49" applyFont="1" applyFill="1" applyBorder="1" applyAlignment="1">
      <alignment horizontal="center" vertical="center"/>
    </xf>
    <xf numFmtId="0" fontId="4" fillId="6" borderId="35" xfId="49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2" xfId="49" applyFont="1" applyBorder="1">
      <alignment vertical="center"/>
    </xf>
    <xf numFmtId="0" fontId="4" fillId="0" borderId="10" xfId="49" applyFont="1" applyFill="1" applyBorder="1">
      <alignment vertical="center"/>
    </xf>
    <xf numFmtId="0" fontId="4" fillId="0" borderId="7" xfId="49" applyFont="1" applyFill="1" applyBorder="1" applyAlignment="1">
      <alignment horizontal="center" vertical="center" wrapText="1"/>
    </xf>
    <xf numFmtId="0" fontId="4" fillId="0" borderId="17" xfId="49" applyFont="1" applyFill="1" applyBorder="1">
      <alignment vertical="center"/>
    </xf>
    <xf numFmtId="0" fontId="4" fillId="0" borderId="37" xfId="49" applyFont="1" applyFill="1" applyBorder="1" applyAlignment="1">
      <alignment horizontal="center" vertical="center" wrapText="1"/>
    </xf>
    <xf numFmtId="0" fontId="4" fillId="9" borderId="10" xfId="49" applyFont="1" applyFill="1" applyBorder="1" applyAlignment="1">
      <alignment horizontal="center" vertical="center"/>
    </xf>
    <xf numFmtId="0" fontId="4" fillId="9" borderId="34" xfId="49" applyFont="1" applyFill="1" applyBorder="1" applyAlignment="1">
      <alignment horizontal="center" vertical="center"/>
    </xf>
    <xf numFmtId="0" fontId="4" fillId="9" borderId="2" xfId="49" applyFont="1" applyFill="1" applyBorder="1">
      <alignment vertical="center"/>
    </xf>
    <xf numFmtId="0" fontId="4" fillId="9" borderId="17" xfId="49" applyFont="1" applyFill="1" applyBorder="1">
      <alignment vertical="center"/>
    </xf>
    <xf numFmtId="0" fontId="4" fillId="9" borderId="20" xfId="49" applyFont="1" applyFill="1" applyBorder="1" applyAlignment="1">
      <alignment horizontal="center" vertical="center"/>
    </xf>
    <xf numFmtId="0" fontId="4" fillId="9" borderId="1" xfId="49" applyFont="1" applyFill="1" applyBorder="1" applyAlignment="1">
      <alignment horizontal="center" vertical="center"/>
    </xf>
    <xf numFmtId="0" fontId="4" fillId="9" borderId="1" xfId="49" applyFont="1" applyFill="1" applyBorder="1" applyAlignment="1">
      <alignment vertical="center" wrapText="1"/>
    </xf>
    <xf numFmtId="0" fontId="4" fillId="0" borderId="24" xfId="49" applyFont="1" applyFill="1" applyBorder="1">
      <alignment vertical="center"/>
    </xf>
    <xf numFmtId="0" fontId="4" fillId="6" borderId="28" xfId="49" applyFont="1" applyFill="1" applyBorder="1" applyAlignment="1">
      <alignment horizontal="center" vertical="center"/>
    </xf>
    <xf numFmtId="0" fontId="4" fillId="0" borderId="39" xfId="49" applyFont="1" applyFill="1" applyBorder="1" applyAlignment="1">
      <alignment horizontal="center" vertical="center" wrapText="1"/>
    </xf>
    <xf numFmtId="0" fontId="4" fillId="0" borderId="18" xfId="49" applyFont="1" applyFill="1" applyBorder="1">
      <alignment vertical="center"/>
    </xf>
    <xf numFmtId="0" fontId="4" fillId="0" borderId="37" xfId="49" applyFont="1" applyFill="1" applyBorder="1" applyAlignment="1">
      <alignment horizontal="center" vertical="center"/>
    </xf>
    <xf numFmtId="0" fontId="4" fillId="6" borderId="7" xfId="49" applyFont="1" applyFill="1" applyBorder="1" applyAlignment="1">
      <alignment horizontal="center" vertical="center" wrapText="1"/>
    </xf>
    <xf numFmtId="0" fontId="4" fillId="6" borderId="39" xfId="49" applyFont="1" applyFill="1" applyBorder="1" applyAlignment="1">
      <alignment horizontal="center" vertical="center"/>
    </xf>
    <xf numFmtId="0" fontId="4" fillId="6" borderId="39" xfId="49" applyFont="1" applyFill="1" applyBorder="1" applyAlignment="1">
      <alignment horizontal="center" vertical="center" wrapText="1"/>
    </xf>
    <xf numFmtId="0" fontId="4" fillId="0" borderId="39" xfId="49" applyFont="1" applyFill="1" applyBorder="1" applyAlignment="1">
      <alignment horizontal="center" vertical="center"/>
    </xf>
    <xf numFmtId="0" fontId="4" fillId="6" borderId="7" xfId="49" applyFont="1" applyFill="1" applyBorder="1" applyAlignment="1">
      <alignment horizontal="center" vertical="center"/>
    </xf>
    <xf numFmtId="0" fontId="9" fillId="6" borderId="7" xfId="49" applyFont="1" applyFill="1" applyBorder="1" applyAlignment="1">
      <alignment horizontal="center" vertical="center" wrapText="1"/>
    </xf>
    <xf numFmtId="0" fontId="4" fillId="0" borderId="17" xfId="49" applyFont="1" applyFill="1" applyBorder="1" applyAlignment="1">
      <alignment vertical="center" wrapText="1"/>
    </xf>
    <xf numFmtId="0" fontId="9" fillId="6" borderId="37" xfId="49" applyFont="1" applyFill="1" applyBorder="1" applyAlignment="1">
      <alignment horizontal="center" vertical="center"/>
    </xf>
    <xf numFmtId="0" fontId="4" fillId="6" borderId="37" xfId="49" applyFont="1" applyFill="1" applyBorder="1" applyAlignment="1">
      <alignment horizontal="center" vertical="center" wrapText="1"/>
    </xf>
    <xf numFmtId="0" fontId="4" fillId="0" borderId="5" xfId="49" applyFont="1" applyBorder="1" applyAlignment="1">
      <alignment horizontal="center" vertical="center"/>
    </xf>
    <xf numFmtId="0" fontId="4" fillId="6" borderId="48" xfId="49" applyFont="1" applyFill="1" applyBorder="1" applyAlignment="1">
      <alignment horizontal="center" vertical="center"/>
    </xf>
    <xf numFmtId="0" fontId="4" fillId="6" borderId="22" xfId="49" applyFont="1" applyFill="1" applyBorder="1" applyAlignment="1">
      <alignment horizontal="center" vertical="center" wrapText="1"/>
    </xf>
    <xf numFmtId="0" fontId="4" fillId="0" borderId="22" xfId="49" applyFont="1" applyBorder="1" applyAlignment="1">
      <alignment horizontal="center" vertical="center"/>
    </xf>
    <xf numFmtId="0" fontId="4" fillId="0" borderId="49" xfId="49" applyFont="1" applyBorder="1" applyAlignment="1">
      <alignment horizontal="center" vertical="center" wrapText="1"/>
    </xf>
    <xf numFmtId="0" fontId="4" fillId="6" borderId="36" xfId="49" applyFont="1" applyFill="1" applyBorder="1" applyAlignment="1">
      <alignment horizontal="center" vertical="center"/>
    </xf>
    <xf numFmtId="0" fontId="10" fillId="0" borderId="50" xfId="0" applyFont="1" applyBorder="1" applyAlignment="1">
      <alignment horizontal="left" vertical="center" wrapText="1"/>
    </xf>
    <xf numFmtId="0" fontId="10" fillId="0" borderId="51" xfId="0" applyFont="1" applyBorder="1" applyAlignment="1">
      <alignment horizontal="left" vertical="center" wrapText="1"/>
    </xf>
    <xf numFmtId="0" fontId="10" fillId="0" borderId="52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0" fillId="0" borderId="53" xfId="0" applyFont="1" applyBorder="1" applyAlignment="1">
      <alignment horizontal="left" vertical="center" wrapText="1"/>
    </xf>
    <xf numFmtId="0" fontId="10" fillId="0" borderId="54" xfId="0" applyFont="1" applyBorder="1" applyAlignment="1">
      <alignment horizontal="left" vertical="center" wrapText="1"/>
    </xf>
    <xf numFmtId="0" fontId="10" fillId="0" borderId="55" xfId="0" applyFont="1" applyBorder="1" applyAlignment="1">
      <alignment horizontal="left" vertical="center" wrapText="1"/>
    </xf>
    <xf numFmtId="0" fontId="13" fillId="0" borderId="56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 wrapText="1"/>
    </xf>
    <xf numFmtId="178" fontId="13" fillId="0" borderId="56" xfId="0" applyNumberFormat="1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 wrapText="1"/>
    </xf>
    <xf numFmtId="178" fontId="13" fillId="0" borderId="58" xfId="0" applyNumberFormat="1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179" fontId="11" fillId="0" borderId="14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180" fontId="12" fillId="7" borderId="1" xfId="0" applyNumberFormat="1" applyFont="1" applyFill="1" applyBorder="1" applyAlignment="1">
      <alignment horizontal="center" vertical="center" wrapText="1"/>
    </xf>
    <xf numFmtId="179" fontId="11" fillId="0" borderId="18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180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 wrapText="1"/>
    </xf>
    <xf numFmtId="179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79" fontId="11" fillId="0" borderId="2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Fill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 wrapText="1"/>
    </xf>
    <xf numFmtId="0" fontId="21" fillId="11" borderId="11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11" borderId="60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vertical="center" wrapText="1"/>
    </xf>
    <xf numFmtId="0" fontId="18" fillId="11" borderId="16" xfId="0" applyFont="1" applyFill="1" applyBorder="1" applyAlignment="1">
      <alignment horizontal="center" vertical="center" wrapText="1"/>
    </xf>
    <xf numFmtId="0" fontId="18" fillId="11" borderId="17" xfId="0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center" vertical="center" wrapText="1"/>
    </xf>
    <xf numFmtId="0" fontId="18" fillId="11" borderId="18" xfId="0" applyFont="1" applyFill="1" applyBorder="1" applyAlignment="1">
      <alignment horizontal="center" vertical="center" wrapText="1"/>
    </xf>
    <xf numFmtId="0" fontId="18" fillId="11" borderId="0" xfId="0" applyFont="1" applyFill="1" applyBorder="1" applyAlignment="1">
      <alignment horizontal="center" vertical="center" wrapText="1"/>
    </xf>
    <xf numFmtId="0" fontId="18" fillId="11" borderId="21" xfId="0" applyFont="1" applyFill="1" applyBorder="1" applyAlignment="1">
      <alignment horizontal="center" vertical="center" wrapText="1"/>
    </xf>
    <xf numFmtId="0" fontId="18" fillId="11" borderId="45" xfId="0" applyFont="1" applyFill="1" applyBorder="1" applyAlignment="1">
      <alignment horizontal="center" vertical="center" wrapText="1"/>
    </xf>
    <xf numFmtId="0" fontId="18" fillId="11" borderId="61" xfId="0" applyFont="1" applyFill="1" applyBorder="1" applyAlignment="1">
      <alignment horizontal="center" vertical="center" wrapText="1"/>
    </xf>
    <xf numFmtId="0" fontId="18" fillId="11" borderId="14" xfId="0" applyFont="1" applyFill="1" applyBorder="1" applyAlignment="1">
      <alignment horizontal="center" vertical="center" wrapText="1"/>
    </xf>
    <xf numFmtId="0" fontId="18" fillId="11" borderId="3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vertical="center"/>
    </xf>
    <xf numFmtId="0" fontId="5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2" fillId="0" borderId="1" xfId="0" applyFont="1" applyFill="1" applyBorder="1" applyAlignment="1">
      <alignment vertical="center"/>
    </xf>
    <xf numFmtId="0" fontId="16" fillId="0" borderId="2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3" fillId="0" borderId="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22" fillId="0" borderId="27" xfId="0" applyFont="1" applyFill="1" applyBorder="1" applyAlignment="1">
      <alignment vertical="center"/>
    </xf>
    <xf numFmtId="0" fontId="5" fillId="0" borderId="27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22" fillId="0" borderId="18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5" fillId="0" borderId="6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40" fontId="5" fillId="0" borderId="1" xfId="0" applyNumberFormat="1" applyFont="1" applyFill="1" applyBorder="1" applyAlignment="1">
      <alignment horizontal="left" vertical="center" wrapText="1"/>
    </xf>
    <xf numFmtId="0" fontId="5" fillId="0" borderId="45" xfId="0" applyFont="1" applyBorder="1" applyAlignment="1">
      <alignment horizontal="center" vertical="center" wrapText="1"/>
    </xf>
    <xf numFmtId="40" fontId="5" fillId="0" borderId="14" xfId="0" applyNumberFormat="1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40" fontId="5" fillId="0" borderId="27" xfId="0" applyNumberFormat="1" applyFont="1" applyFill="1" applyBorder="1" applyAlignment="1">
      <alignment horizontal="left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2" xfId="0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40" fontId="5" fillId="0" borderId="18" xfId="0" applyNumberFormat="1" applyFont="1" applyFill="1" applyBorder="1" applyAlignment="1">
      <alignment horizontal="left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5" fillId="2" borderId="63" xfId="0" applyFont="1" applyFill="1" applyBorder="1" applyAlignment="1">
      <alignment horizontal="left" vertical="center"/>
    </xf>
    <xf numFmtId="0" fontId="5" fillId="0" borderId="64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5" fillId="0" borderId="65" xfId="0" applyFont="1" applyFill="1" applyBorder="1" applyAlignment="1">
      <alignment horizontal="left" vertical="center"/>
    </xf>
    <xf numFmtId="0" fontId="5" fillId="0" borderId="66" xfId="0" applyFont="1" applyFill="1" applyBorder="1" applyAlignment="1">
      <alignment horizontal="left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left" vertical="center"/>
    </xf>
    <xf numFmtId="0" fontId="5" fillId="0" borderId="66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67" xfId="0" applyFont="1" applyFill="1" applyBorder="1" applyAlignment="1">
      <alignment horizontal="left" vertical="center"/>
    </xf>
    <xf numFmtId="0" fontId="5" fillId="0" borderId="3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26" fillId="13" borderId="7" xfId="0" applyFont="1" applyFill="1" applyBorder="1" applyAlignment="1">
      <alignment horizontal="center"/>
    </xf>
    <xf numFmtId="0" fontId="26" fillId="13" borderId="60" xfId="0" applyFont="1" applyFill="1" applyBorder="1" applyAlignment="1">
      <alignment horizontal="center"/>
    </xf>
    <xf numFmtId="0" fontId="26" fillId="13" borderId="16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7" fillId="0" borderId="0" xfId="49" applyFont="1" applyAlignment="1">
      <alignment horizontal="center" vertical="center"/>
    </xf>
    <xf numFmtId="0" fontId="28" fillId="5" borderId="1" xfId="49" applyFont="1" applyFill="1" applyBorder="1" applyAlignment="1">
      <alignment horizontal="center" vertical="center" wrapText="1"/>
    </xf>
    <xf numFmtId="0" fontId="29" fillId="0" borderId="1" xfId="49" applyFont="1" applyBorder="1" applyAlignment="1">
      <alignment horizontal="center" vertical="center" wrapText="1"/>
    </xf>
    <xf numFmtId="0" fontId="29" fillId="0" borderId="1" xfId="49" applyFont="1" applyBorder="1" applyAlignment="1">
      <alignment horizontal="left" vertical="center" wrapText="1"/>
    </xf>
    <xf numFmtId="0" fontId="29" fillId="0" borderId="1" xfId="49" applyFont="1" applyBorder="1" applyAlignment="1">
      <alignment vertical="center" wrapText="1"/>
    </xf>
    <xf numFmtId="0" fontId="29" fillId="6" borderId="1" xfId="49" applyFont="1" applyFill="1" applyBorder="1" applyAlignment="1">
      <alignment horizontal="center" vertical="center" wrapText="1"/>
    </xf>
    <xf numFmtId="0" fontId="30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/>
    </xf>
    <xf numFmtId="0" fontId="31" fillId="2" borderId="42" xfId="49" applyFont="1" applyFill="1" applyBorder="1" applyAlignment="1">
      <alignment horizontal="center" vertical="center" wrapText="1"/>
    </xf>
    <xf numFmtId="0" fontId="31" fillId="2" borderId="0" xfId="49" applyFont="1" applyFill="1" applyAlignment="1">
      <alignment horizontal="center" vertical="center" wrapText="1"/>
    </xf>
    <xf numFmtId="0" fontId="29" fillId="6" borderId="1" xfId="49" applyFont="1" applyFill="1" applyBorder="1" applyAlignment="1">
      <alignment vertical="center" wrapText="1"/>
    </xf>
    <xf numFmtId="0" fontId="29" fillId="0" borderId="1" xfId="49" applyFont="1" applyFill="1" applyBorder="1" applyAlignment="1">
      <alignment horizontal="left" vertical="center" wrapText="1"/>
    </xf>
    <xf numFmtId="0" fontId="3" fillId="0" borderId="0" xfId="49" applyFont="1" applyBorder="1" applyAlignment="1">
      <alignment horizontal="center" vertical="center"/>
    </xf>
    <xf numFmtId="0" fontId="29" fillId="0" borderId="1" xfId="49" applyFont="1" applyFill="1" applyBorder="1" applyAlignment="1">
      <alignment vertical="center" wrapText="1"/>
    </xf>
    <xf numFmtId="0" fontId="29" fillId="0" borderId="1" xfId="49" applyFont="1" applyFill="1" applyBorder="1" applyAlignment="1">
      <alignment horizontal="center" vertical="center" wrapText="1"/>
    </xf>
    <xf numFmtId="0" fontId="1" fillId="0" borderId="0" xfId="49" applyFont="1" applyAlignment="1">
      <alignment horizontal="center" vertical="center"/>
    </xf>
    <xf numFmtId="0" fontId="18" fillId="0" borderId="0" xfId="49" applyFont="1" applyAlignment="1">
      <alignment horizontal="center" vertical="center"/>
    </xf>
    <xf numFmtId="0" fontId="16" fillId="0" borderId="0" xfId="49" applyFont="1">
      <alignment vertical="center"/>
    </xf>
    <xf numFmtId="0" fontId="19" fillId="0" borderId="0" xfId="49" applyFont="1" applyAlignment="1">
      <alignment horizontal="center" vertical="center" wrapText="1"/>
    </xf>
    <xf numFmtId="0" fontId="16" fillId="0" borderId="0" xfId="49" applyFont="1" applyAlignment="1">
      <alignment horizontal="center" vertical="center" wrapText="1"/>
    </xf>
    <xf numFmtId="0" fontId="32" fillId="0" borderId="0" xfId="49">
      <alignment vertical="center"/>
    </xf>
    <xf numFmtId="0" fontId="17" fillId="11" borderId="1" xfId="49" applyFont="1" applyFill="1" applyBorder="1" applyAlignment="1">
      <alignment horizontal="center" vertical="center" wrapText="1"/>
    </xf>
    <xf numFmtId="0" fontId="17" fillId="11" borderId="14" xfId="49" applyFont="1" applyFill="1" applyBorder="1" applyAlignment="1">
      <alignment horizontal="center" vertical="center" wrapText="1"/>
    </xf>
    <xf numFmtId="0" fontId="18" fillId="0" borderId="0" xfId="49" applyFont="1" applyAlignment="1">
      <alignment horizontal="center" vertical="center" wrapText="1"/>
    </xf>
    <xf numFmtId="0" fontId="17" fillId="11" borderId="18" xfId="49" applyFont="1" applyFill="1" applyBorder="1" applyAlignment="1">
      <alignment horizontal="center" vertical="center" wrapText="1"/>
    </xf>
    <xf numFmtId="0" fontId="17" fillId="11" borderId="23" xfId="49" applyFont="1" applyFill="1" applyBorder="1" applyAlignment="1">
      <alignment horizontal="center" vertical="center" wrapText="1"/>
    </xf>
    <xf numFmtId="0" fontId="33" fillId="0" borderId="1" xfId="49" applyFont="1" applyBorder="1" applyAlignment="1">
      <alignment horizontal="center" vertical="center" wrapText="1"/>
    </xf>
    <xf numFmtId="0" fontId="29" fillId="0" borderId="1" xfId="49" applyFont="1" applyBorder="1">
      <alignment vertical="center"/>
    </xf>
    <xf numFmtId="0" fontId="30" fillId="0" borderId="1" xfId="49" applyFont="1" applyBorder="1" applyAlignment="1">
      <alignment horizontal="left" vertical="center" wrapText="1"/>
    </xf>
    <xf numFmtId="0" fontId="33" fillId="0" borderId="1" xfId="49" applyFont="1" applyBorder="1" applyAlignment="1">
      <alignment horizontal="left" vertical="center" wrapText="1"/>
    </xf>
    <xf numFmtId="0" fontId="33" fillId="0" borderId="1" xfId="49" applyFont="1" applyBorder="1" applyAlignment="1">
      <alignment horizontal="left" vertical="center"/>
    </xf>
    <xf numFmtId="0" fontId="31" fillId="0" borderId="1" xfId="49" applyFont="1" applyBorder="1" applyAlignment="1">
      <alignment horizontal="left" vertical="center" wrapText="1"/>
    </xf>
    <xf numFmtId="0" fontId="30" fillId="2" borderId="1" xfId="49" applyFont="1" applyFill="1" applyBorder="1" applyAlignment="1">
      <alignment horizontal="center" vertical="center" wrapText="1"/>
    </xf>
    <xf numFmtId="0" fontId="34" fillId="0" borderId="1" xfId="49" applyFont="1" applyBorder="1" applyAlignment="1">
      <alignment horizontal="center" vertical="center" wrapText="1"/>
    </xf>
    <xf numFmtId="40" fontId="33" fillId="0" borderId="1" xfId="49" applyNumberFormat="1" applyFont="1" applyBorder="1" applyAlignment="1">
      <alignment horizontal="left" vertical="center" wrapText="1"/>
    </xf>
    <xf numFmtId="0" fontId="33" fillId="0" borderId="1" xfId="49" applyFont="1" applyFill="1" applyBorder="1" applyAlignment="1">
      <alignment horizontal="center" vertical="center" wrapText="1"/>
    </xf>
    <xf numFmtId="0" fontId="33" fillId="0" borderId="1" xfId="49" applyFont="1" applyFill="1" applyBorder="1" applyAlignment="1">
      <alignment horizontal="left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常规 2" xfId="5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8"/>
  <sheetViews>
    <sheetView zoomScale="55" zoomScaleNormal="55" workbookViewId="0">
      <selection activeCell="I44" sqref="I44"/>
    </sheetView>
  </sheetViews>
  <sheetFormatPr defaultColWidth="8.85714285714286" defaultRowHeight="12.75"/>
  <cols>
    <col min="1" max="1" width="6.71428571428571" style="349" customWidth="1"/>
    <col min="2" max="2" width="20.8571428571429" style="350" customWidth="1"/>
    <col min="3" max="3" width="11.1428571428571" style="350" customWidth="1"/>
    <col min="4" max="4" width="47.2857142857143" style="350" customWidth="1"/>
    <col min="5" max="5" width="20.5714285714286" style="350" customWidth="1"/>
    <col min="6" max="6" width="27.8571428571429" style="350" customWidth="1"/>
    <col min="7" max="7" width="30.4285714285714" style="350" customWidth="1"/>
    <col min="8" max="8" width="39.4285714285714" style="350" customWidth="1"/>
    <col min="9" max="9" width="35.7142857142857" style="350" customWidth="1"/>
    <col min="10" max="18" width="9.42857142857143" style="350" customWidth="1"/>
    <col min="19" max="16384" width="8.85714285714286" style="351"/>
  </cols>
  <sheetData>
    <row r="1" s="347" customFormat="1" ht="21.75" customHeight="1" spans="1:18">
      <c r="A1" s="352" t="s">
        <v>0</v>
      </c>
      <c r="B1" s="352" t="s">
        <v>1</v>
      </c>
      <c r="C1" s="352"/>
      <c r="D1" s="352" t="s">
        <v>2</v>
      </c>
      <c r="E1" s="353" t="s">
        <v>3</v>
      </c>
      <c r="F1" s="352" t="s">
        <v>4</v>
      </c>
      <c r="G1" s="352" t="s">
        <v>5</v>
      </c>
      <c r="H1" s="352" t="s">
        <v>6</v>
      </c>
      <c r="I1" s="352" t="s">
        <v>7</v>
      </c>
      <c r="J1" s="354"/>
      <c r="K1" s="354"/>
      <c r="L1" s="354"/>
      <c r="M1" s="354"/>
      <c r="N1" s="354"/>
      <c r="O1" s="354"/>
      <c r="P1" s="354"/>
      <c r="Q1" s="354"/>
      <c r="R1" s="354"/>
    </row>
    <row r="2" s="347" customFormat="1" ht="15" spans="1:18">
      <c r="A2" s="352"/>
      <c r="B2" s="352"/>
      <c r="C2" s="352"/>
      <c r="D2" s="352"/>
      <c r="E2" s="355"/>
      <c r="F2" s="352"/>
      <c r="G2" s="352"/>
      <c r="H2" s="352"/>
      <c r="I2" s="352"/>
      <c r="J2" s="354"/>
      <c r="K2" s="354"/>
      <c r="L2" s="354"/>
      <c r="M2" s="354"/>
      <c r="N2" s="354"/>
      <c r="O2" s="354"/>
      <c r="P2" s="354"/>
      <c r="Q2" s="354"/>
      <c r="R2" s="354"/>
    </row>
    <row r="3" s="347" customFormat="1" ht="15" spans="1:18">
      <c r="A3" s="352"/>
      <c r="B3" s="352"/>
      <c r="C3" s="352"/>
      <c r="D3" s="352"/>
      <c r="E3" s="356"/>
      <c r="F3" s="352"/>
      <c r="G3" s="352"/>
      <c r="H3" s="352"/>
      <c r="I3" s="352"/>
      <c r="J3" s="354"/>
      <c r="K3" s="354"/>
      <c r="L3" s="354"/>
      <c r="M3" s="354"/>
      <c r="N3" s="354"/>
      <c r="O3" s="354"/>
      <c r="P3" s="354"/>
      <c r="Q3" s="354"/>
      <c r="R3" s="354"/>
    </row>
    <row r="4" s="348" customFormat="1" ht="25.5" customHeight="1" spans="1:18">
      <c r="A4" s="357">
        <v>1</v>
      </c>
      <c r="B4" s="357" t="s">
        <v>8</v>
      </c>
      <c r="C4" s="357" t="s">
        <v>9</v>
      </c>
      <c r="D4" s="358" t="s">
        <v>10</v>
      </c>
      <c r="E4" s="357" t="s">
        <v>11</v>
      </c>
      <c r="F4" s="358"/>
      <c r="G4" s="359" t="s">
        <v>12</v>
      </c>
      <c r="H4" s="337" t="s">
        <v>13</v>
      </c>
      <c r="I4" s="337" t="s">
        <v>14</v>
      </c>
      <c r="J4" s="339" t="s">
        <v>15</v>
      </c>
      <c r="K4" s="340"/>
      <c r="L4" s="340"/>
      <c r="M4" s="350"/>
      <c r="N4" s="350"/>
      <c r="O4" s="350"/>
      <c r="P4" s="350"/>
      <c r="Q4" s="350"/>
      <c r="R4" s="350"/>
    </row>
    <row r="5" s="348" customFormat="1" ht="25.5" customHeight="1" spans="1:18">
      <c r="A5" s="357">
        <v>2</v>
      </c>
      <c r="B5" s="357"/>
      <c r="C5" s="357" t="s">
        <v>9</v>
      </c>
      <c r="D5" s="358" t="s">
        <v>16</v>
      </c>
      <c r="E5" s="357" t="s">
        <v>17</v>
      </c>
      <c r="F5" s="358" t="s">
        <v>17</v>
      </c>
      <c r="G5" s="359" t="s">
        <v>18</v>
      </c>
      <c r="H5" s="337" t="s">
        <v>19</v>
      </c>
      <c r="I5" s="337" t="s">
        <v>20</v>
      </c>
      <c r="J5" s="350"/>
      <c r="K5" s="350"/>
      <c r="L5" s="350"/>
      <c r="M5" s="350"/>
      <c r="N5" s="350"/>
      <c r="O5" s="350"/>
      <c r="P5" s="350"/>
      <c r="Q5" s="350"/>
      <c r="R5" s="350"/>
    </row>
    <row r="6" s="348" customFormat="1" ht="25.5" customHeight="1" spans="1:18">
      <c r="A6" s="357">
        <v>3</v>
      </c>
      <c r="B6" s="357"/>
      <c r="C6" s="357" t="s">
        <v>9</v>
      </c>
      <c r="D6" s="358" t="s">
        <v>21</v>
      </c>
      <c r="E6" s="357"/>
      <c r="F6" s="358"/>
      <c r="G6" s="359" t="s">
        <v>22</v>
      </c>
      <c r="H6" s="337" t="s">
        <v>23</v>
      </c>
      <c r="I6" s="337" t="s">
        <v>24</v>
      </c>
      <c r="J6" s="350"/>
      <c r="K6" s="350"/>
      <c r="L6" s="350"/>
      <c r="M6" s="350"/>
      <c r="N6" s="350"/>
      <c r="O6" s="350"/>
      <c r="P6" s="350"/>
      <c r="Q6" s="350"/>
      <c r="R6" s="350"/>
    </row>
    <row r="7" s="348" customFormat="1" ht="25.5" customHeight="1" spans="1:18">
      <c r="A7" s="357">
        <v>4</v>
      </c>
      <c r="B7" s="357"/>
      <c r="C7" s="357" t="s">
        <v>9</v>
      </c>
      <c r="D7" s="358" t="s">
        <v>25</v>
      </c>
      <c r="E7" s="357"/>
      <c r="F7" s="358"/>
      <c r="G7" s="359" t="s">
        <v>26</v>
      </c>
      <c r="H7" s="337" t="s">
        <v>27</v>
      </c>
      <c r="I7" s="337" t="s">
        <v>28</v>
      </c>
      <c r="J7" s="350"/>
      <c r="K7" s="350"/>
      <c r="L7" s="350"/>
      <c r="M7" s="350"/>
      <c r="N7" s="350"/>
      <c r="O7" s="350"/>
      <c r="P7" s="350"/>
      <c r="Q7" s="350"/>
      <c r="R7" s="350"/>
    </row>
    <row r="8" s="348" customFormat="1" ht="25.5" customHeight="1" spans="1:18">
      <c r="A8" s="357">
        <v>5</v>
      </c>
      <c r="B8" s="357"/>
      <c r="C8" s="357" t="s">
        <v>9</v>
      </c>
      <c r="D8" s="358" t="s">
        <v>29</v>
      </c>
      <c r="E8" s="357"/>
      <c r="F8" s="358"/>
      <c r="G8" s="359" t="s">
        <v>30</v>
      </c>
      <c r="H8" s="337"/>
      <c r="I8" s="337" t="s">
        <v>31</v>
      </c>
      <c r="J8" s="350"/>
      <c r="K8" s="350"/>
      <c r="L8" s="350"/>
      <c r="M8" s="350"/>
      <c r="N8" s="350"/>
      <c r="O8" s="350"/>
      <c r="P8" s="350"/>
      <c r="Q8" s="350"/>
      <c r="R8" s="350"/>
    </row>
    <row r="9" s="348" customFormat="1" ht="25.5" customHeight="1" spans="1:18">
      <c r="A9" s="357">
        <v>6</v>
      </c>
      <c r="B9" s="357"/>
      <c r="C9" s="357" t="s">
        <v>9</v>
      </c>
      <c r="D9" s="358" t="s">
        <v>32</v>
      </c>
      <c r="E9" s="357" t="s">
        <v>33</v>
      </c>
      <c r="F9" s="358"/>
      <c r="G9" s="359" t="s">
        <v>34</v>
      </c>
      <c r="H9" s="337" t="s">
        <v>35</v>
      </c>
      <c r="I9" s="337" t="s">
        <v>36</v>
      </c>
      <c r="J9" s="350"/>
      <c r="K9" s="350"/>
      <c r="L9" s="350"/>
      <c r="M9" s="350"/>
      <c r="N9" s="350"/>
      <c r="O9" s="350"/>
      <c r="P9" s="350"/>
      <c r="Q9" s="350"/>
      <c r="R9" s="350"/>
    </row>
    <row r="10" s="348" customFormat="1" ht="25.5" customHeight="1" spans="1:18">
      <c r="A10" s="357">
        <v>7</v>
      </c>
      <c r="B10" s="357"/>
      <c r="C10" s="357" t="s">
        <v>9</v>
      </c>
      <c r="D10" s="358" t="s">
        <v>37</v>
      </c>
      <c r="E10" s="357" t="s">
        <v>38</v>
      </c>
      <c r="F10" s="358"/>
      <c r="G10" s="359" t="s">
        <v>39</v>
      </c>
      <c r="H10" s="337" t="s">
        <v>40</v>
      </c>
      <c r="I10" s="337" t="s">
        <v>41</v>
      </c>
      <c r="J10" s="350"/>
      <c r="K10" s="350"/>
      <c r="L10" s="350"/>
      <c r="M10" s="350"/>
      <c r="N10" s="350"/>
      <c r="O10" s="350"/>
      <c r="P10" s="350"/>
      <c r="Q10" s="350"/>
      <c r="R10" s="350"/>
    </row>
    <row r="11" s="348" customFormat="1" ht="25.5" customHeight="1" spans="1:18">
      <c r="A11" s="357">
        <v>8</v>
      </c>
      <c r="B11" s="357"/>
      <c r="C11" s="357" t="s">
        <v>9</v>
      </c>
      <c r="D11" s="358" t="s">
        <v>42</v>
      </c>
      <c r="E11" s="357"/>
      <c r="F11" s="358"/>
      <c r="G11" s="359" t="s">
        <v>43</v>
      </c>
      <c r="H11" s="337" t="s">
        <v>44</v>
      </c>
      <c r="I11" s="337" t="s">
        <v>45</v>
      </c>
      <c r="J11" s="350"/>
      <c r="K11" s="350"/>
      <c r="L11" s="350"/>
      <c r="M11" s="350"/>
      <c r="N11" s="350"/>
      <c r="O11" s="350"/>
      <c r="P11" s="350"/>
      <c r="Q11" s="350"/>
      <c r="R11" s="350"/>
    </row>
    <row r="12" s="348" customFormat="1" ht="25.5" customHeight="1" spans="1:18">
      <c r="A12" s="357">
        <v>9</v>
      </c>
      <c r="B12" s="357"/>
      <c r="C12" s="357" t="s">
        <v>9</v>
      </c>
      <c r="D12" s="358" t="s">
        <v>46</v>
      </c>
      <c r="E12" s="357"/>
      <c r="F12" s="358"/>
      <c r="G12" s="359" t="s">
        <v>47</v>
      </c>
      <c r="H12" s="337" t="s">
        <v>48</v>
      </c>
      <c r="I12" s="337" t="s">
        <v>49</v>
      </c>
      <c r="J12" s="350"/>
      <c r="K12" s="350"/>
      <c r="L12" s="350"/>
      <c r="M12" s="350"/>
      <c r="N12" s="350"/>
      <c r="O12" s="350"/>
      <c r="P12" s="350"/>
      <c r="Q12" s="350"/>
      <c r="R12" s="350"/>
    </row>
    <row r="13" s="348" customFormat="1" ht="25.5" customHeight="1" spans="1:18">
      <c r="A13" s="357">
        <v>10</v>
      </c>
      <c r="B13" s="357"/>
      <c r="C13" s="357" t="s">
        <v>9</v>
      </c>
      <c r="D13" s="358" t="s">
        <v>50</v>
      </c>
      <c r="E13" s="357"/>
      <c r="F13" s="358"/>
      <c r="G13" s="359" t="s">
        <v>51</v>
      </c>
      <c r="H13" s="337"/>
      <c r="I13" s="337" t="s">
        <v>52</v>
      </c>
      <c r="J13" s="350"/>
      <c r="K13" s="350"/>
      <c r="L13" s="350"/>
      <c r="M13" s="350"/>
      <c r="N13" s="350"/>
      <c r="O13" s="350"/>
      <c r="P13" s="350"/>
      <c r="Q13" s="350"/>
      <c r="R13" s="350"/>
    </row>
    <row r="14" s="348" customFormat="1" ht="25.5" customHeight="1" spans="1:18">
      <c r="A14" s="357">
        <v>11</v>
      </c>
      <c r="B14" s="357"/>
      <c r="C14" s="357" t="s">
        <v>9</v>
      </c>
      <c r="D14" s="358" t="s">
        <v>53</v>
      </c>
      <c r="E14" s="357" t="s">
        <v>54</v>
      </c>
      <c r="F14" s="358"/>
      <c r="G14" s="359" t="s">
        <v>55</v>
      </c>
      <c r="H14" s="337" t="s">
        <v>56</v>
      </c>
      <c r="I14" s="337" t="s">
        <v>57</v>
      </c>
      <c r="J14" s="350"/>
      <c r="K14" s="350"/>
      <c r="L14" s="350"/>
      <c r="M14" s="350"/>
      <c r="N14" s="350"/>
      <c r="O14" s="350"/>
      <c r="P14" s="350"/>
      <c r="Q14" s="350"/>
      <c r="R14" s="350"/>
    </row>
    <row r="15" s="348" customFormat="1" ht="25.5" customHeight="1" spans="1:18">
      <c r="A15" s="357">
        <v>12</v>
      </c>
      <c r="B15" s="357"/>
      <c r="C15" s="357" t="s">
        <v>9</v>
      </c>
      <c r="D15" s="358" t="s">
        <v>58</v>
      </c>
      <c r="E15" s="357"/>
      <c r="F15" s="358"/>
      <c r="G15" s="359" t="s">
        <v>59</v>
      </c>
      <c r="H15" s="337" t="s">
        <v>60</v>
      </c>
      <c r="I15" s="337" t="s">
        <v>61</v>
      </c>
      <c r="J15" s="350"/>
      <c r="K15" s="350"/>
      <c r="L15" s="350"/>
      <c r="M15" s="350"/>
      <c r="N15" s="350"/>
      <c r="O15" s="350"/>
      <c r="P15" s="350"/>
      <c r="Q15" s="350"/>
      <c r="R15" s="350"/>
    </row>
    <row r="16" s="348" customFormat="1" ht="25.5" customHeight="1" spans="1:18">
      <c r="A16" s="357">
        <v>13</v>
      </c>
      <c r="B16" s="357"/>
      <c r="C16" s="357" t="s">
        <v>9</v>
      </c>
      <c r="D16" s="358" t="s">
        <v>62</v>
      </c>
      <c r="E16" s="357"/>
      <c r="F16" s="358"/>
      <c r="G16" s="359" t="s">
        <v>63</v>
      </c>
      <c r="H16" s="337" t="s">
        <v>64</v>
      </c>
      <c r="I16" s="337" t="s">
        <v>65</v>
      </c>
      <c r="J16" s="350"/>
      <c r="K16" s="350"/>
      <c r="L16" s="350"/>
      <c r="M16" s="350"/>
      <c r="N16" s="350"/>
      <c r="O16" s="350"/>
      <c r="P16" s="350"/>
      <c r="Q16" s="350"/>
      <c r="R16" s="350"/>
    </row>
    <row r="17" s="348" customFormat="1" ht="47.25" customHeight="1" spans="1:18">
      <c r="A17" s="357"/>
      <c r="B17" s="357"/>
      <c r="C17" s="357"/>
      <c r="D17" s="358"/>
      <c r="E17" s="357" t="s">
        <v>66</v>
      </c>
      <c r="F17" s="358"/>
      <c r="G17" s="359"/>
      <c r="H17" s="337"/>
      <c r="I17" s="337"/>
      <c r="J17" s="350"/>
      <c r="K17" s="350"/>
      <c r="L17" s="350"/>
      <c r="M17" s="350"/>
      <c r="N17" s="350"/>
      <c r="O17" s="350"/>
      <c r="P17" s="350"/>
      <c r="Q17" s="350"/>
      <c r="R17" s="350"/>
    </row>
    <row r="18" s="348" customFormat="1" ht="25.5" customHeight="1" spans="1:18">
      <c r="A18" s="357">
        <v>14</v>
      </c>
      <c r="B18" s="357"/>
      <c r="C18" s="357" t="s">
        <v>9</v>
      </c>
      <c r="D18" s="360" t="s">
        <v>67</v>
      </c>
      <c r="E18" s="357" t="s">
        <v>68</v>
      </c>
      <c r="F18" s="360"/>
      <c r="G18" s="359" t="s">
        <v>69</v>
      </c>
      <c r="H18" s="337" t="s">
        <v>70</v>
      </c>
      <c r="I18" s="337" t="s">
        <v>71</v>
      </c>
      <c r="J18" s="350"/>
      <c r="K18" s="350"/>
      <c r="L18" s="350"/>
      <c r="M18" s="350"/>
      <c r="N18" s="350"/>
      <c r="O18" s="350"/>
      <c r="P18" s="350"/>
      <c r="Q18" s="350"/>
      <c r="R18" s="350"/>
    </row>
    <row r="19" s="348" customFormat="1" ht="25.5" customHeight="1" spans="1:18">
      <c r="A19" s="357">
        <v>15</v>
      </c>
      <c r="B19" s="357"/>
      <c r="C19" s="357" t="s">
        <v>9</v>
      </c>
      <c r="D19" s="361" t="s">
        <v>72</v>
      </c>
      <c r="E19" s="357" t="s">
        <v>73</v>
      </c>
      <c r="F19" s="361"/>
      <c r="G19" s="359" t="s">
        <v>74</v>
      </c>
      <c r="H19" s="337" t="s">
        <v>75</v>
      </c>
      <c r="I19" s="337" t="s">
        <v>76</v>
      </c>
      <c r="J19" s="350"/>
      <c r="K19" s="350"/>
      <c r="L19" s="350"/>
      <c r="M19" s="350"/>
      <c r="N19" s="350"/>
      <c r="O19" s="350"/>
      <c r="P19" s="350"/>
      <c r="Q19" s="350"/>
      <c r="R19" s="350"/>
    </row>
    <row r="20" s="348" customFormat="1" ht="25.5" customHeight="1" spans="1:18">
      <c r="A20" s="357">
        <v>16</v>
      </c>
      <c r="B20" s="357"/>
      <c r="C20" s="357" t="s">
        <v>9</v>
      </c>
      <c r="D20" s="360" t="s">
        <v>77</v>
      </c>
      <c r="E20" s="357"/>
      <c r="F20" s="360"/>
      <c r="G20" s="359" t="s">
        <v>78</v>
      </c>
      <c r="H20" s="337" t="s">
        <v>79</v>
      </c>
      <c r="I20" s="337" t="s">
        <v>80</v>
      </c>
      <c r="J20" s="350"/>
      <c r="K20" s="350"/>
      <c r="L20" s="350"/>
      <c r="M20" s="350"/>
      <c r="N20" s="350"/>
      <c r="O20" s="350"/>
      <c r="P20" s="350"/>
      <c r="Q20" s="350"/>
      <c r="R20" s="350"/>
    </row>
    <row r="21" s="348" customFormat="1" ht="25.5" customHeight="1" spans="1:18">
      <c r="A21" s="357">
        <v>17</v>
      </c>
      <c r="B21" s="357"/>
      <c r="C21" s="357" t="s">
        <v>9</v>
      </c>
      <c r="D21" s="360" t="s">
        <v>81</v>
      </c>
      <c r="E21" s="357"/>
      <c r="F21" s="360"/>
      <c r="G21" s="359" t="s">
        <v>82</v>
      </c>
      <c r="H21" s="337" t="s">
        <v>83</v>
      </c>
      <c r="I21" s="337" t="s">
        <v>84</v>
      </c>
      <c r="J21" s="350"/>
      <c r="K21" s="350"/>
      <c r="L21" s="350"/>
      <c r="M21" s="350"/>
      <c r="N21" s="350"/>
      <c r="O21" s="350"/>
      <c r="P21" s="350"/>
      <c r="Q21" s="350"/>
      <c r="R21" s="350"/>
    </row>
    <row r="22" s="348" customFormat="1" ht="25.5" customHeight="1" spans="1:18">
      <c r="A22" s="357">
        <v>18</v>
      </c>
      <c r="B22" s="357"/>
      <c r="C22" s="357" t="s">
        <v>9</v>
      </c>
      <c r="D22" s="360" t="s">
        <v>85</v>
      </c>
      <c r="E22" s="357"/>
      <c r="F22" s="360"/>
      <c r="G22" s="359" t="s">
        <v>86</v>
      </c>
      <c r="H22" s="337" t="s">
        <v>87</v>
      </c>
      <c r="I22" s="337" t="s">
        <v>88</v>
      </c>
      <c r="J22" s="350"/>
      <c r="K22" s="350"/>
      <c r="L22" s="350"/>
      <c r="M22" s="350"/>
      <c r="N22" s="350"/>
      <c r="O22" s="350"/>
      <c r="P22" s="350"/>
      <c r="Q22" s="350"/>
      <c r="R22" s="350"/>
    </row>
    <row r="23" s="348" customFormat="1" ht="25.5" customHeight="1" spans="1:18">
      <c r="A23" s="357">
        <v>19</v>
      </c>
      <c r="B23" s="357"/>
      <c r="C23" s="357" t="s">
        <v>9</v>
      </c>
      <c r="D23" s="360" t="s">
        <v>89</v>
      </c>
      <c r="E23" s="357"/>
      <c r="F23" s="360"/>
      <c r="G23" s="362" t="s">
        <v>90</v>
      </c>
      <c r="H23" s="337"/>
      <c r="I23" s="337" t="s">
        <v>91</v>
      </c>
      <c r="J23" s="350"/>
      <c r="K23" s="350"/>
      <c r="L23" s="350"/>
      <c r="M23" s="350"/>
      <c r="N23" s="350"/>
      <c r="O23" s="350"/>
      <c r="P23" s="350"/>
      <c r="Q23" s="350"/>
      <c r="R23" s="350"/>
    </row>
    <row r="24" s="348" customFormat="1" ht="25.5" customHeight="1" spans="1:18">
      <c r="A24" s="357">
        <v>20</v>
      </c>
      <c r="B24" s="357"/>
      <c r="C24" s="357" t="s">
        <v>9</v>
      </c>
      <c r="D24" s="360" t="s">
        <v>92</v>
      </c>
      <c r="E24" s="357"/>
      <c r="F24" s="360"/>
      <c r="G24" s="359" t="s">
        <v>93</v>
      </c>
      <c r="H24" s="363" t="s">
        <v>94</v>
      </c>
      <c r="I24" s="337" t="s">
        <v>95</v>
      </c>
      <c r="J24" s="350"/>
      <c r="K24" s="350"/>
      <c r="L24" s="350"/>
      <c r="M24" s="350"/>
      <c r="N24" s="350"/>
      <c r="O24" s="350"/>
      <c r="P24" s="350"/>
      <c r="Q24" s="350"/>
      <c r="R24" s="350"/>
    </row>
    <row r="25" s="348" customFormat="1" ht="45" customHeight="1" spans="1:18">
      <c r="A25" s="357">
        <v>21</v>
      </c>
      <c r="B25" s="357"/>
      <c r="C25" s="357" t="s">
        <v>96</v>
      </c>
      <c r="D25" s="360" t="s">
        <v>97</v>
      </c>
      <c r="E25" s="357"/>
      <c r="F25" s="360"/>
      <c r="G25" s="362" t="s">
        <v>98</v>
      </c>
      <c r="H25" s="337"/>
      <c r="I25" s="364" t="s">
        <v>99</v>
      </c>
      <c r="J25" s="350"/>
      <c r="K25" s="350"/>
      <c r="L25" s="350"/>
      <c r="M25" s="350"/>
      <c r="N25" s="350"/>
      <c r="O25" s="350"/>
      <c r="P25" s="350"/>
      <c r="Q25" s="350"/>
      <c r="R25" s="350"/>
    </row>
    <row r="26" ht="25.5" customHeight="1" spans="1:18">
      <c r="A26" s="357">
        <v>22</v>
      </c>
      <c r="B26" s="357"/>
      <c r="C26" s="357" t="s">
        <v>9</v>
      </c>
      <c r="D26" s="360" t="s">
        <v>100</v>
      </c>
      <c r="E26" s="357" t="s">
        <v>33</v>
      </c>
      <c r="F26" s="360"/>
      <c r="G26" s="359" t="s">
        <v>101</v>
      </c>
      <c r="H26" s="337" t="s">
        <v>102</v>
      </c>
      <c r="I26" s="337" t="s">
        <v>103</v>
      </c>
    </row>
    <row r="27" s="348" customFormat="1" ht="25.5" customHeight="1" spans="1:18">
      <c r="A27" s="357">
        <v>23</v>
      </c>
      <c r="B27" s="357"/>
      <c r="C27" s="357" t="s">
        <v>9</v>
      </c>
      <c r="D27" s="360" t="s">
        <v>104</v>
      </c>
      <c r="E27" s="357" t="s">
        <v>105</v>
      </c>
      <c r="F27" s="360"/>
      <c r="G27" s="359" t="s">
        <v>106</v>
      </c>
      <c r="H27" s="337" t="s">
        <v>107</v>
      </c>
      <c r="I27" s="337" t="s">
        <v>108</v>
      </c>
      <c r="J27" s="350"/>
      <c r="K27" s="350"/>
      <c r="L27" s="350"/>
      <c r="M27" s="350"/>
      <c r="N27" s="350"/>
      <c r="O27" s="350"/>
      <c r="P27" s="350"/>
      <c r="Q27" s="350"/>
      <c r="R27" s="350"/>
    </row>
    <row r="28" s="348" customFormat="1" ht="25.5" customHeight="1" spans="1:18">
      <c r="A28" s="357">
        <v>24</v>
      </c>
      <c r="B28" s="357"/>
      <c r="C28" s="357" t="s">
        <v>9</v>
      </c>
      <c r="D28" s="360" t="s">
        <v>109</v>
      </c>
      <c r="E28" s="357"/>
      <c r="F28" s="360"/>
      <c r="G28" s="359" t="s">
        <v>110</v>
      </c>
      <c r="H28" s="337" t="s">
        <v>111</v>
      </c>
      <c r="I28" s="337" t="s">
        <v>112</v>
      </c>
      <c r="J28" s="350"/>
      <c r="K28" s="350"/>
      <c r="L28" s="350"/>
      <c r="M28" s="350"/>
      <c r="N28" s="350"/>
      <c r="O28" s="350"/>
      <c r="P28" s="350"/>
      <c r="Q28" s="350"/>
      <c r="R28" s="350"/>
    </row>
    <row r="29" s="348" customFormat="1" ht="25.5" customHeight="1" spans="1:18">
      <c r="A29" s="357">
        <v>25</v>
      </c>
      <c r="B29" s="357"/>
      <c r="C29" s="357" t="s">
        <v>9</v>
      </c>
      <c r="D29" s="365" t="s">
        <v>113</v>
      </c>
      <c r="E29" s="357"/>
      <c r="F29" s="365"/>
      <c r="G29" s="359" t="s">
        <v>114</v>
      </c>
      <c r="H29" s="337" t="s">
        <v>115</v>
      </c>
      <c r="I29" s="337" t="s">
        <v>116</v>
      </c>
      <c r="J29" s="350"/>
      <c r="K29" s="350"/>
      <c r="L29" s="350"/>
      <c r="M29" s="350"/>
      <c r="N29" s="350"/>
      <c r="O29" s="350"/>
      <c r="P29" s="350"/>
      <c r="Q29" s="350"/>
      <c r="R29" s="350"/>
    </row>
    <row r="30" s="348" customFormat="1" ht="25.5" customHeight="1" spans="1:18">
      <c r="A30" s="357">
        <v>26</v>
      </c>
      <c r="B30" s="357"/>
      <c r="C30" s="357" t="s">
        <v>9</v>
      </c>
      <c r="D30" s="365" t="s">
        <v>117</v>
      </c>
      <c r="E30" s="357"/>
      <c r="F30" s="365"/>
      <c r="G30" s="359" t="s">
        <v>118</v>
      </c>
      <c r="H30" s="337" t="s">
        <v>119</v>
      </c>
      <c r="I30" s="337" t="s">
        <v>120</v>
      </c>
      <c r="J30" s="350"/>
      <c r="K30" s="350"/>
      <c r="L30" s="350"/>
      <c r="M30" s="350"/>
      <c r="N30" s="350"/>
      <c r="O30" s="350"/>
      <c r="P30" s="350"/>
      <c r="Q30" s="350"/>
      <c r="R30" s="350"/>
    </row>
    <row r="31" s="348" customFormat="1" ht="25.5" customHeight="1" spans="1:18">
      <c r="A31" s="357">
        <v>27</v>
      </c>
      <c r="B31" s="357"/>
      <c r="C31" s="357" t="s">
        <v>9</v>
      </c>
      <c r="D31" s="365" t="s">
        <v>121</v>
      </c>
      <c r="E31" s="357"/>
      <c r="F31" s="365"/>
      <c r="G31" s="359" t="s">
        <v>122</v>
      </c>
      <c r="H31" s="337" t="s">
        <v>123</v>
      </c>
      <c r="I31" s="337" t="s">
        <v>124</v>
      </c>
      <c r="J31" s="350"/>
      <c r="K31" s="350"/>
      <c r="L31" s="350"/>
      <c r="M31" s="350"/>
      <c r="N31" s="350"/>
      <c r="O31" s="350"/>
      <c r="P31" s="350"/>
      <c r="Q31" s="350"/>
      <c r="R31" s="350"/>
    </row>
    <row r="32" s="348" customFormat="1" ht="25.5" customHeight="1" spans="1:18">
      <c r="A32" s="357">
        <v>28</v>
      </c>
      <c r="B32" s="357"/>
      <c r="C32" s="357" t="s">
        <v>9</v>
      </c>
      <c r="D32" s="365" t="s">
        <v>125</v>
      </c>
      <c r="E32" s="357" t="s">
        <v>126</v>
      </c>
      <c r="F32" s="365"/>
      <c r="G32" s="359" t="s">
        <v>127</v>
      </c>
      <c r="H32" s="337" t="s">
        <v>128</v>
      </c>
      <c r="I32" s="337" t="s">
        <v>129</v>
      </c>
      <c r="J32" s="339" t="s">
        <v>130</v>
      </c>
      <c r="K32" s="340"/>
      <c r="L32" s="340"/>
      <c r="M32" s="350"/>
      <c r="N32" s="350"/>
      <c r="O32" s="350"/>
      <c r="P32" s="350"/>
      <c r="Q32" s="350"/>
      <c r="R32" s="350"/>
    </row>
    <row r="33" s="348" customFormat="1" ht="25.5" customHeight="1" spans="1:18">
      <c r="A33" s="357">
        <v>29</v>
      </c>
      <c r="B33" s="357"/>
      <c r="C33" s="357" t="s">
        <v>9</v>
      </c>
      <c r="D33" s="365" t="s">
        <v>131</v>
      </c>
      <c r="E33" s="357"/>
      <c r="F33" s="365"/>
      <c r="G33" s="359" t="s">
        <v>132</v>
      </c>
      <c r="H33" s="337" t="s">
        <v>133</v>
      </c>
      <c r="I33" s="337" t="s">
        <v>134</v>
      </c>
      <c r="J33" s="350"/>
      <c r="K33" s="350"/>
      <c r="L33" s="350"/>
      <c r="M33" s="350"/>
      <c r="N33" s="350"/>
      <c r="O33" s="350"/>
      <c r="P33" s="350"/>
      <c r="Q33" s="350"/>
      <c r="R33" s="350"/>
    </row>
    <row r="34" s="348" customFormat="1" ht="25.5" customHeight="1" spans="1:18">
      <c r="A34" s="357">
        <v>30</v>
      </c>
      <c r="B34" s="357"/>
      <c r="C34" s="357" t="s">
        <v>9</v>
      </c>
      <c r="D34" s="365" t="s">
        <v>135</v>
      </c>
      <c r="E34" s="357"/>
      <c r="F34" s="365"/>
      <c r="G34" s="359" t="s">
        <v>136</v>
      </c>
      <c r="H34" s="337" t="s">
        <v>137</v>
      </c>
      <c r="I34" s="337" t="s">
        <v>138</v>
      </c>
      <c r="J34" s="350"/>
      <c r="K34" s="350"/>
      <c r="L34" s="350"/>
      <c r="M34" s="350"/>
      <c r="N34" s="350"/>
      <c r="O34" s="350"/>
      <c r="P34" s="350"/>
      <c r="Q34" s="350"/>
      <c r="R34" s="350"/>
    </row>
    <row r="35" s="348" customFormat="1" ht="25.5" customHeight="1" spans="1:18">
      <c r="A35" s="357">
        <v>31</v>
      </c>
      <c r="B35" s="357"/>
      <c r="C35" s="357" t="s">
        <v>9</v>
      </c>
      <c r="D35" s="365" t="s">
        <v>139</v>
      </c>
      <c r="E35" s="357" t="s">
        <v>54</v>
      </c>
      <c r="F35" s="365"/>
      <c r="G35" s="359" t="s">
        <v>140</v>
      </c>
      <c r="H35" s="337" t="s">
        <v>141</v>
      </c>
      <c r="I35" s="337" t="s">
        <v>142</v>
      </c>
      <c r="J35" s="350"/>
      <c r="K35" s="350"/>
      <c r="L35" s="350"/>
      <c r="M35" s="350"/>
      <c r="N35" s="350"/>
      <c r="O35" s="350"/>
      <c r="P35" s="350"/>
      <c r="Q35" s="350"/>
      <c r="R35" s="350"/>
    </row>
    <row r="36" ht="25.5" customHeight="1" spans="1:18">
      <c r="A36" s="357">
        <v>32</v>
      </c>
      <c r="B36" s="357" t="s">
        <v>143</v>
      </c>
      <c r="C36" s="357" t="s">
        <v>9</v>
      </c>
      <c r="D36" s="360" t="s">
        <v>144</v>
      </c>
      <c r="E36" s="357" t="s">
        <v>145</v>
      </c>
      <c r="F36" s="360"/>
      <c r="G36" s="359" t="s">
        <v>146</v>
      </c>
      <c r="H36" s="337" t="s">
        <v>147</v>
      </c>
      <c r="I36" s="337" t="s">
        <v>148</v>
      </c>
    </row>
    <row r="37" ht="25.5" customHeight="1" spans="1:18">
      <c r="A37" s="357">
        <v>33</v>
      </c>
      <c r="B37" s="357"/>
      <c r="C37" s="357" t="s">
        <v>9</v>
      </c>
      <c r="D37" s="360" t="s">
        <v>149</v>
      </c>
      <c r="E37" s="357" t="s">
        <v>150</v>
      </c>
      <c r="F37" s="360"/>
      <c r="G37" s="359" t="s">
        <v>151</v>
      </c>
      <c r="H37" s="337" t="s">
        <v>152</v>
      </c>
      <c r="I37" s="337" t="s">
        <v>153</v>
      </c>
    </row>
    <row r="38" ht="25.5" customHeight="1" spans="1:18">
      <c r="A38" s="357">
        <v>34</v>
      </c>
      <c r="B38" s="357"/>
      <c r="C38" s="366" t="s">
        <v>9</v>
      </c>
      <c r="D38" s="367" t="s">
        <v>154</v>
      </c>
      <c r="E38" s="357"/>
      <c r="F38" s="367"/>
      <c r="G38" s="359" t="s">
        <v>155</v>
      </c>
      <c r="H38" s="337" t="s">
        <v>156</v>
      </c>
      <c r="I38" s="337" t="s">
        <v>157</v>
      </c>
    </row>
    <row r="39" ht="25.5" customHeight="1" spans="1:18">
      <c r="A39" s="357">
        <v>35</v>
      </c>
      <c r="B39" s="357"/>
      <c r="C39" s="366" t="s">
        <v>9</v>
      </c>
      <c r="D39" s="367" t="s">
        <v>158</v>
      </c>
      <c r="E39" s="357"/>
      <c r="F39" s="367"/>
      <c r="G39" s="359" t="s">
        <v>159</v>
      </c>
      <c r="H39" s="337" t="s">
        <v>160</v>
      </c>
      <c r="I39" s="337" t="s">
        <v>161</v>
      </c>
    </row>
    <row r="40" ht="25.5" customHeight="1" spans="1:18">
      <c r="A40" s="357">
        <v>36</v>
      </c>
      <c r="B40" s="357"/>
      <c r="C40" s="366" t="s">
        <v>9</v>
      </c>
      <c r="D40" s="367" t="s">
        <v>162</v>
      </c>
      <c r="E40" s="357"/>
      <c r="F40" s="367"/>
      <c r="G40" s="359" t="s">
        <v>163</v>
      </c>
      <c r="H40" s="337" t="s">
        <v>164</v>
      </c>
      <c r="I40" s="337" t="s">
        <v>165</v>
      </c>
    </row>
    <row r="41" ht="25.5" customHeight="1" spans="1:18">
      <c r="A41" s="357">
        <v>37</v>
      </c>
      <c r="B41" s="357"/>
      <c r="C41" s="366" t="s">
        <v>9</v>
      </c>
      <c r="D41" s="367" t="s">
        <v>166</v>
      </c>
      <c r="E41" s="357" t="s">
        <v>17</v>
      </c>
      <c r="F41" s="367"/>
      <c r="G41" s="359" t="s">
        <v>167</v>
      </c>
      <c r="H41" s="337" t="s">
        <v>168</v>
      </c>
      <c r="I41" s="337" t="s">
        <v>169</v>
      </c>
    </row>
    <row r="42" s="348" customFormat="1" ht="25.5" customHeight="1" spans="1:18">
      <c r="A42" s="357">
        <v>38</v>
      </c>
      <c r="B42" s="357"/>
      <c r="C42" s="357" t="s">
        <v>9</v>
      </c>
      <c r="D42" s="360" t="s">
        <v>170</v>
      </c>
      <c r="E42" s="357"/>
      <c r="F42" s="360"/>
      <c r="G42" s="359" t="s">
        <v>171</v>
      </c>
      <c r="H42" s="337" t="s">
        <v>172</v>
      </c>
      <c r="I42" s="337" t="s">
        <v>173</v>
      </c>
      <c r="J42" s="350"/>
      <c r="K42" s="350"/>
      <c r="L42" s="350"/>
      <c r="M42" s="350"/>
      <c r="N42" s="350"/>
      <c r="O42" s="350"/>
      <c r="P42" s="350"/>
      <c r="Q42" s="350"/>
      <c r="R42" s="350"/>
    </row>
    <row r="43" s="348" customFormat="1" ht="25.5" customHeight="1" spans="1:18">
      <c r="A43" s="357">
        <v>39</v>
      </c>
      <c r="B43" s="357"/>
      <c r="C43" s="357" t="s">
        <v>9</v>
      </c>
      <c r="D43" s="360" t="s">
        <v>174</v>
      </c>
      <c r="E43" s="357"/>
      <c r="F43" s="360"/>
      <c r="G43" s="359" t="s">
        <v>175</v>
      </c>
      <c r="H43" s="363"/>
      <c r="I43" s="337" t="s">
        <v>176</v>
      </c>
      <c r="J43" s="350"/>
      <c r="K43" s="350"/>
      <c r="L43" s="350"/>
      <c r="M43" s="350"/>
      <c r="N43" s="350"/>
      <c r="O43" s="350"/>
      <c r="P43" s="350"/>
      <c r="Q43" s="350"/>
      <c r="R43" s="350"/>
    </row>
    <row r="44" s="348" customFormat="1" ht="25.5" customHeight="1" spans="1:18">
      <c r="A44" s="357">
        <v>40</v>
      </c>
      <c r="B44" s="357"/>
      <c r="C44" s="357" t="s">
        <v>9</v>
      </c>
      <c r="D44" s="360" t="s">
        <v>177</v>
      </c>
      <c r="E44" s="357" t="s">
        <v>33</v>
      </c>
      <c r="F44" s="360"/>
      <c r="G44" s="359" t="s">
        <v>178</v>
      </c>
      <c r="H44" s="337" t="s">
        <v>179</v>
      </c>
      <c r="I44" s="337" t="s">
        <v>180</v>
      </c>
      <c r="J44" s="350"/>
      <c r="K44" s="350"/>
      <c r="L44" s="350"/>
      <c r="M44" s="350"/>
      <c r="N44" s="350"/>
      <c r="O44" s="350"/>
      <c r="P44" s="350"/>
      <c r="Q44" s="350"/>
      <c r="R44" s="350"/>
    </row>
    <row r="45" s="348" customFormat="1" ht="25.5" customHeight="1" spans="1:18">
      <c r="A45" s="357">
        <v>41</v>
      </c>
      <c r="B45" s="357"/>
      <c r="C45" s="357" t="s">
        <v>9</v>
      </c>
      <c r="D45" s="365" t="s">
        <v>181</v>
      </c>
      <c r="E45" s="357" t="s">
        <v>182</v>
      </c>
      <c r="F45" s="365"/>
      <c r="G45" s="359" t="s">
        <v>183</v>
      </c>
      <c r="H45" s="337" t="s">
        <v>184</v>
      </c>
      <c r="I45" s="337" t="s">
        <v>185</v>
      </c>
      <c r="J45" s="350"/>
      <c r="K45" s="350"/>
      <c r="L45" s="350"/>
      <c r="M45" s="350"/>
      <c r="N45" s="350"/>
      <c r="O45" s="350"/>
      <c r="P45" s="350"/>
      <c r="Q45" s="350"/>
      <c r="R45" s="350"/>
    </row>
    <row r="46" s="348" customFormat="1" ht="25.5" customHeight="1" spans="1:18">
      <c r="A46" s="357">
        <v>42</v>
      </c>
      <c r="B46" s="357"/>
      <c r="C46" s="357" t="s">
        <v>9</v>
      </c>
      <c r="D46" s="365" t="s">
        <v>186</v>
      </c>
      <c r="E46" s="357" t="s">
        <v>187</v>
      </c>
      <c r="F46" s="365"/>
      <c r="G46" s="359" t="s">
        <v>188</v>
      </c>
      <c r="H46" s="337" t="s">
        <v>189</v>
      </c>
      <c r="I46" s="337" t="s">
        <v>190</v>
      </c>
      <c r="J46" s="350"/>
      <c r="K46" s="350"/>
      <c r="L46" s="350"/>
      <c r="M46" s="350"/>
      <c r="N46" s="350"/>
      <c r="O46" s="350"/>
      <c r="P46" s="350"/>
      <c r="Q46" s="350"/>
      <c r="R46" s="350"/>
    </row>
    <row r="47" s="348" customFormat="1" ht="25.5" customHeight="1" spans="1:18">
      <c r="A47" s="357">
        <v>43</v>
      </c>
      <c r="B47" s="357"/>
      <c r="C47" s="357" t="s">
        <v>9</v>
      </c>
      <c r="D47" s="365" t="s">
        <v>191</v>
      </c>
      <c r="E47" s="357"/>
      <c r="F47" s="365"/>
      <c r="G47" s="359" t="s">
        <v>192</v>
      </c>
      <c r="H47" s="337" t="s">
        <v>193</v>
      </c>
      <c r="I47" s="337" t="s">
        <v>194</v>
      </c>
      <c r="J47" s="350"/>
      <c r="K47" s="350"/>
      <c r="L47" s="350"/>
      <c r="M47" s="350"/>
      <c r="N47" s="350"/>
      <c r="O47" s="350"/>
      <c r="P47" s="350"/>
      <c r="Q47" s="350"/>
      <c r="R47" s="350"/>
    </row>
    <row r="48" s="348" customFormat="1" ht="25.5" customHeight="1" spans="1:18">
      <c r="A48" s="357">
        <v>44</v>
      </c>
      <c r="B48" s="357"/>
      <c r="C48" s="357" t="s">
        <v>9</v>
      </c>
      <c r="D48" s="360" t="s">
        <v>195</v>
      </c>
      <c r="E48" s="357"/>
      <c r="F48" s="360"/>
      <c r="G48" s="359" t="s">
        <v>196</v>
      </c>
      <c r="H48" s="337"/>
      <c r="I48" s="337" t="s">
        <v>197</v>
      </c>
      <c r="J48" s="350"/>
      <c r="K48" s="350"/>
      <c r="L48" s="350"/>
      <c r="M48" s="350"/>
      <c r="N48" s="350"/>
      <c r="O48" s="350"/>
      <c r="P48" s="350"/>
      <c r="Q48" s="350"/>
      <c r="R48" s="350"/>
    </row>
    <row r="49" s="348" customFormat="1" ht="25.5" customHeight="1" spans="1:18">
      <c r="A49" s="357">
        <v>45</v>
      </c>
      <c r="B49" s="357"/>
      <c r="C49" s="357" t="s">
        <v>9</v>
      </c>
      <c r="D49" s="365" t="s">
        <v>198</v>
      </c>
      <c r="E49" s="357" t="s">
        <v>54</v>
      </c>
      <c r="F49" s="365"/>
      <c r="G49" s="359" t="s">
        <v>199</v>
      </c>
      <c r="H49" s="337" t="s">
        <v>200</v>
      </c>
      <c r="I49" s="337" t="s">
        <v>201</v>
      </c>
      <c r="J49" s="350"/>
      <c r="K49" s="350"/>
      <c r="L49" s="350"/>
      <c r="M49" s="350"/>
      <c r="N49" s="350"/>
      <c r="O49" s="350"/>
      <c r="P49" s="350"/>
      <c r="Q49" s="350"/>
      <c r="R49" s="350"/>
    </row>
    <row r="50" s="348" customFormat="1" ht="25.5" customHeight="1" spans="1:18">
      <c r="A50" s="357">
        <v>46</v>
      </c>
      <c r="B50" s="357"/>
      <c r="C50" s="357" t="s">
        <v>9</v>
      </c>
      <c r="D50" s="365" t="s">
        <v>202</v>
      </c>
      <c r="E50" s="357"/>
      <c r="F50" s="365"/>
      <c r="G50" s="359" t="s">
        <v>203</v>
      </c>
      <c r="H50" s="337" t="s">
        <v>204</v>
      </c>
      <c r="I50" s="337" t="s">
        <v>205</v>
      </c>
      <c r="J50" s="350"/>
      <c r="K50" s="350"/>
      <c r="L50" s="350"/>
      <c r="M50" s="350"/>
      <c r="N50" s="350"/>
      <c r="O50" s="350"/>
      <c r="P50" s="350"/>
      <c r="Q50" s="350"/>
      <c r="R50" s="350"/>
    </row>
    <row r="51" s="348" customFormat="1" ht="25.5" customHeight="1" spans="1:18">
      <c r="A51" s="357">
        <v>47</v>
      </c>
      <c r="B51" s="357"/>
      <c r="C51" s="357" t="s">
        <v>9</v>
      </c>
      <c r="D51" s="365" t="s">
        <v>206</v>
      </c>
      <c r="E51" s="357"/>
      <c r="F51" s="365"/>
      <c r="G51" s="359" t="s">
        <v>207</v>
      </c>
      <c r="H51" s="337" t="s">
        <v>208</v>
      </c>
      <c r="I51" s="337" t="s">
        <v>209</v>
      </c>
      <c r="J51" s="350"/>
      <c r="K51" s="350"/>
      <c r="L51" s="350"/>
      <c r="M51" s="350"/>
      <c r="N51" s="350"/>
      <c r="O51" s="350"/>
      <c r="P51" s="350"/>
      <c r="Q51" s="350"/>
      <c r="R51" s="350"/>
    </row>
    <row r="52" s="348" customFormat="1" ht="25.5" customHeight="1" spans="1:18">
      <c r="A52" s="357">
        <v>48</v>
      </c>
      <c r="B52" s="357"/>
      <c r="C52" s="357" t="s">
        <v>9</v>
      </c>
      <c r="D52" s="365" t="s">
        <v>210</v>
      </c>
      <c r="E52" s="357" t="s">
        <v>211</v>
      </c>
      <c r="F52" s="365"/>
      <c r="G52" s="359" t="s">
        <v>212</v>
      </c>
      <c r="H52" s="337"/>
      <c r="I52" s="337" t="s">
        <v>213</v>
      </c>
      <c r="J52" s="350"/>
      <c r="K52" s="350"/>
      <c r="L52" s="350"/>
      <c r="M52" s="350"/>
      <c r="N52" s="350"/>
      <c r="O52" s="350"/>
      <c r="P52" s="350"/>
      <c r="Q52" s="350"/>
      <c r="R52" s="350"/>
    </row>
    <row r="53" s="348" customFormat="1" ht="25.5" customHeight="1" spans="1:18">
      <c r="A53" s="357">
        <v>49</v>
      </c>
      <c r="B53" s="357"/>
      <c r="C53" s="357" t="s">
        <v>96</v>
      </c>
      <c r="D53" s="361" t="s">
        <v>214</v>
      </c>
      <c r="E53" s="357" t="s">
        <v>215</v>
      </c>
      <c r="F53" s="361"/>
      <c r="G53" s="362" t="s">
        <v>216</v>
      </c>
      <c r="H53" s="337"/>
      <c r="I53" s="337" t="s">
        <v>217</v>
      </c>
      <c r="J53" s="350"/>
      <c r="K53" s="350"/>
      <c r="L53" s="350"/>
      <c r="M53" s="350"/>
      <c r="N53" s="350"/>
      <c r="O53" s="350"/>
      <c r="P53" s="350"/>
      <c r="Q53" s="350"/>
      <c r="R53" s="350"/>
    </row>
    <row r="54" s="348" customFormat="1" ht="25.5" customHeight="1" spans="1:18">
      <c r="A54" s="357">
        <v>50</v>
      </c>
      <c r="B54" s="357"/>
      <c r="C54" s="357" t="s">
        <v>9</v>
      </c>
      <c r="D54" s="361" t="s">
        <v>218</v>
      </c>
      <c r="E54" s="357" t="s">
        <v>219</v>
      </c>
      <c r="F54" s="361"/>
      <c r="G54" s="359" t="s">
        <v>220</v>
      </c>
      <c r="H54" s="337" t="s">
        <v>221</v>
      </c>
      <c r="I54" s="337" t="s">
        <v>222</v>
      </c>
      <c r="J54" s="350"/>
      <c r="K54" s="350"/>
      <c r="L54" s="350"/>
      <c r="M54" s="350"/>
      <c r="N54" s="350"/>
      <c r="O54" s="350"/>
      <c r="P54" s="350"/>
      <c r="Q54" s="350"/>
      <c r="R54" s="350"/>
    </row>
    <row r="55" s="348" customFormat="1" ht="25.5" customHeight="1" spans="1:18">
      <c r="A55" s="357">
        <v>51</v>
      </c>
      <c r="B55" s="357"/>
      <c r="C55" s="357" t="s">
        <v>9</v>
      </c>
      <c r="D55" s="361" t="s">
        <v>223</v>
      </c>
      <c r="E55" s="357"/>
      <c r="F55" s="361"/>
      <c r="G55" s="359" t="s">
        <v>224</v>
      </c>
      <c r="H55" s="337" t="s">
        <v>225</v>
      </c>
      <c r="I55" s="337" t="s">
        <v>226</v>
      </c>
      <c r="J55" s="350"/>
      <c r="K55" s="350"/>
      <c r="L55" s="350"/>
      <c r="M55" s="350"/>
      <c r="N55" s="350"/>
      <c r="O55" s="350"/>
      <c r="P55" s="350"/>
      <c r="Q55" s="350"/>
      <c r="R55" s="350"/>
    </row>
    <row r="56" s="348" customFormat="1" ht="25.5" customHeight="1" spans="1:18">
      <c r="A56" s="357">
        <v>52</v>
      </c>
      <c r="B56" s="357"/>
      <c r="C56" s="357" t="s">
        <v>9</v>
      </c>
      <c r="D56" s="361" t="s">
        <v>227</v>
      </c>
      <c r="E56" s="357"/>
      <c r="F56" s="361"/>
      <c r="G56" s="359" t="s">
        <v>228</v>
      </c>
      <c r="H56" s="337" t="s">
        <v>229</v>
      </c>
      <c r="I56" s="337" t="s">
        <v>230</v>
      </c>
      <c r="J56" s="350"/>
      <c r="K56" s="350"/>
      <c r="L56" s="350"/>
      <c r="M56" s="350"/>
      <c r="N56" s="350"/>
      <c r="O56" s="350"/>
      <c r="P56" s="350"/>
      <c r="Q56" s="350"/>
      <c r="R56" s="350"/>
    </row>
    <row r="57" s="348" customFormat="1" ht="25.5" customHeight="1" spans="1:18">
      <c r="A57" s="357">
        <v>53</v>
      </c>
      <c r="B57" s="357"/>
      <c r="C57" s="357" t="s">
        <v>9</v>
      </c>
      <c r="D57" s="361" t="s">
        <v>231</v>
      </c>
      <c r="E57" s="357"/>
      <c r="F57" s="361"/>
      <c r="G57" s="362" t="s">
        <v>232</v>
      </c>
      <c r="H57" s="337"/>
      <c r="I57" s="337" t="s">
        <v>233</v>
      </c>
      <c r="J57" s="350"/>
      <c r="K57" s="350"/>
      <c r="L57" s="350"/>
      <c r="M57" s="350"/>
      <c r="N57" s="350"/>
      <c r="O57" s="350"/>
      <c r="P57" s="350"/>
      <c r="Q57" s="350"/>
      <c r="R57" s="350"/>
    </row>
    <row r="58" s="348" customFormat="1" ht="25.5" customHeight="1" spans="1:18">
      <c r="A58" s="357">
        <v>54</v>
      </c>
      <c r="B58" s="357"/>
      <c r="C58" s="357" t="s">
        <v>9</v>
      </c>
      <c r="D58" s="361" t="s">
        <v>234</v>
      </c>
      <c r="E58" s="357"/>
      <c r="F58" s="361"/>
      <c r="G58" s="359" t="s">
        <v>235</v>
      </c>
      <c r="H58" s="337" t="s">
        <v>236</v>
      </c>
      <c r="I58" s="337" t="s">
        <v>237</v>
      </c>
      <c r="J58" s="350"/>
      <c r="K58" s="350"/>
      <c r="L58" s="350"/>
      <c r="M58" s="350"/>
      <c r="N58" s="350"/>
      <c r="O58" s="350"/>
      <c r="P58" s="350"/>
      <c r="Q58" s="350"/>
      <c r="R58" s="350"/>
    </row>
    <row r="59" s="348" customFormat="1" ht="25.5" customHeight="1" spans="1:18">
      <c r="A59" s="357">
        <v>55</v>
      </c>
      <c r="B59" s="357"/>
      <c r="C59" s="357" t="s">
        <v>9</v>
      </c>
      <c r="D59" s="361" t="s">
        <v>238</v>
      </c>
      <c r="E59" s="357"/>
      <c r="F59" s="361"/>
      <c r="G59" s="359" t="s">
        <v>239</v>
      </c>
      <c r="H59" s="337"/>
      <c r="I59" s="337" t="s">
        <v>240</v>
      </c>
      <c r="J59" s="339" t="s">
        <v>241</v>
      </c>
      <c r="K59" s="340"/>
      <c r="L59" s="340"/>
      <c r="M59" s="350"/>
      <c r="N59" s="350"/>
      <c r="O59" s="350"/>
      <c r="P59" s="350"/>
      <c r="Q59" s="350"/>
      <c r="R59" s="350"/>
    </row>
    <row r="60" s="348" customFormat="1" ht="25.5" customHeight="1" spans="1:18">
      <c r="A60" s="357">
        <v>56</v>
      </c>
      <c r="B60" s="357"/>
      <c r="C60" s="357" t="s">
        <v>96</v>
      </c>
      <c r="D60" s="361" t="s">
        <v>242</v>
      </c>
      <c r="E60" s="357"/>
      <c r="F60" s="361"/>
      <c r="G60" s="362" t="s">
        <v>243</v>
      </c>
      <c r="H60" s="337"/>
      <c r="I60" s="337" t="s">
        <v>244</v>
      </c>
      <c r="J60" s="350"/>
      <c r="K60" s="350"/>
      <c r="L60" s="350"/>
      <c r="M60" s="350"/>
      <c r="N60" s="350"/>
      <c r="O60" s="350"/>
      <c r="P60" s="350"/>
      <c r="Q60" s="350"/>
      <c r="R60" s="350"/>
    </row>
    <row r="61" s="348" customFormat="1" ht="25.5" customHeight="1" spans="1:18">
      <c r="A61" s="357">
        <v>57</v>
      </c>
      <c r="B61" s="357"/>
      <c r="C61" s="357" t="s">
        <v>9</v>
      </c>
      <c r="D61" s="361" t="s">
        <v>245</v>
      </c>
      <c r="E61" s="357" t="s">
        <v>145</v>
      </c>
      <c r="F61" s="361"/>
      <c r="G61" s="359" t="s">
        <v>246</v>
      </c>
      <c r="H61" s="337" t="s">
        <v>247</v>
      </c>
      <c r="I61" s="337" t="s">
        <v>248</v>
      </c>
      <c r="J61" s="350"/>
      <c r="K61" s="350"/>
      <c r="L61" s="350"/>
      <c r="M61" s="350"/>
      <c r="N61" s="350"/>
      <c r="O61" s="350"/>
      <c r="P61" s="350"/>
      <c r="Q61" s="350"/>
      <c r="R61" s="350"/>
    </row>
    <row r="62" s="348" customFormat="1" ht="25.5" customHeight="1" spans="1:18">
      <c r="A62" s="357">
        <v>58</v>
      </c>
      <c r="B62" s="357"/>
      <c r="C62" s="357" t="s">
        <v>9</v>
      </c>
      <c r="D62" s="361" t="s">
        <v>249</v>
      </c>
      <c r="E62" s="357" t="s">
        <v>250</v>
      </c>
      <c r="F62" s="361"/>
      <c r="G62" s="359" t="s">
        <v>251</v>
      </c>
      <c r="H62" s="337" t="s">
        <v>252</v>
      </c>
      <c r="I62" s="337" t="s">
        <v>253</v>
      </c>
      <c r="J62" s="350"/>
      <c r="K62" s="350"/>
      <c r="L62" s="350"/>
      <c r="M62" s="350"/>
      <c r="N62" s="350"/>
      <c r="O62" s="350"/>
      <c r="P62" s="350"/>
      <c r="Q62" s="350"/>
      <c r="R62" s="350"/>
    </row>
    <row r="63" s="348" customFormat="1" ht="25.5" customHeight="1" spans="1:18">
      <c r="A63" s="357">
        <v>59</v>
      </c>
      <c r="B63" s="357"/>
      <c r="C63" s="357" t="s">
        <v>9</v>
      </c>
      <c r="D63" s="361" t="s">
        <v>254</v>
      </c>
      <c r="E63" s="357"/>
      <c r="F63" s="361"/>
      <c r="G63" s="359" t="s">
        <v>255</v>
      </c>
      <c r="H63" s="337" t="s">
        <v>256</v>
      </c>
      <c r="I63" s="337" t="s">
        <v>257</v>
      </c>
      <c r="J63" s="350"/>
      <c r="K63" s="350"/>
      <c r="L63" s="350"/>
      <c r="M63" s="350"/>
      <c r="N63" s="350"/>
      <c r="O63" s="350"/>
      <c r="P63" s="350"/>
      <c r="Q63" s="350"/>
      <c r="R63" s="350"/>
    </row>
    <row r="64" s="348" customFormat="1" ht="25.5" customHeight="1" spans="1:18">
      <c r="A64" s="357">
        <v>60</v>
      </c>
      <c r="B64" s="357"/>
      <c r="C64" s="357" t="s">
        <v>9</v>
      </c>
      <c r="D64" s="361" t="s">
        <v>258</v>
      </c>
      <c r="E64" s="357"/>
      <c r="F64" s="361"/>
      <c r="G64" s="359" t="s">
        <v>259</v>
      </c>
      <c r="H64" s="337" t="s">
        <v>260</v>
      </c>
      <c r="I64" s="337" t="s">
        <v>261</v>
      </c>
      <c r="J64" s="350"/>
      <c r="K64" s="350"/>
      <c r="L64" s="350"/>
      <c r="M64" s="350"/>
      <c r="N64" s="350"/>
      <c r="O64" s="350"/>
      <c r="P64" s="350"/>
      <c r="Q64" s="350"/>
      <c r="R64" s="350"/>
    </row>
    <row r="65" s="348" customFormat="1" ht="25.5" customHeight="1" spans="1:18">
      <c r="A65" s="357">
        <v>61</v>
      </c>
      <c r="B65" s="357"/>
      <c r="C65" s="357" t="s">
        <v>9</v>
      </c>
      <c r="D65" s="361" t="s">
        <v>262</v>
      </c>
      <c r="E65" s="357"/>
      <c r="F65" s="361"/>
      <c r="G65" s="362" t="s">
        <v>263</v>
      </c>
      <c r="H65" s="337"/>
      <c r="I65" s="337" t="s">
        <v>264</v>
      </c>
      <c r="J65" s="350"/>
      <c r="K65" s="350"/>
      <c r="L65" s="350"/>
      <c r="M65" s="350"/>
      <c r="N65" s="350"/>
      <c r="O65" s="350"/>
      <c r="P65" s="350"/>
      <c r="Q65" s="350"/>
      <c r="R65" s="350"/>
    </row>
    <row r="66" s="348" customFormat="1" ht="25.5" customHeight="1" spans="1:18">
      <c r="A66" s="357">
        <v>62</v>
      </c>
      <c r="B66" s="357"/>
      <c r="C66" s="357" t="s">
        <v>9</v>
      </c>
      <c r="D66" s="361" t="s">
        <v>265</v>
      </c>
      <c r="E66" s="357"/>
      <c r="F66" s="361"/>
      <c r="G66" s="359" t="s">
        <v>266</v>
      </c>
      <c r="H66" s="337" t="s">
        <v>267</v>
      </c>
      <c r="I66" s="337" t="s">
        <v>268</v>
      </c>
      <c r="J66" s="350"/>
      <c r="K66" s="350"/>
      <c r="L66" s="350"/>
      <c r="M66" s="350"/>
      <c r="N66" s="350"/>
      <c r="O66" s="350"/>
      <c r="P66" s="350"/>
      <c r="Q66" s="350"/>
      <c r="R66" s="350"/>
    </row>
    <row r="67" s="348" customFormat="1" ht="25.5" customHeight="1" spans="1:18">
      <c r="A67" s="357">
        <v>63</v>
      </c>
      <c r="B67" s="357"/>
      <c r="C67" s="357" t="s">
        <v>96</v>
      </c>
      <c r="D67" s="361" t="s">
        <v>269</v>
      </c>
      <c r="E67" s="357"/>
      <c r="F67" s="361"/>
      <c r="G67" s="362" t="s">
        <v>270</v>
      </c>
      <c r="H67" s="337"/>
      <c r="I67" s="337" t="s">
        <v>271</v>
      </c>
      <c r="J67" s="350"/>
      <c r="K67" s="350"/>
      <c r="L67" s="350"/>
      <c r="M67" s="350"/>
      <c r="N67" s="350"/>
      <c r="O67" s="350"/>
      <c r="P67" s="350"/>
      <c r="Q67" s="350"/>
      <c r="R67" s="350"/>
    </row>
    <row r="68" s="348" customFormat="1" ht="25.5" customHeight="1" spans="1:18">
      <c r="A68" s="357">
        <v>64</v>
      </c>
      <c r="B68" s="357"/>
      <c r="C68" s="357" t="s">
        <v>9</v>
      </c>
      <c r="D68" s="361" t="s">
        <v>272</v>
      </c>
      <c r="E68" s="357" t="s">
        <v>11</v>
      </c>
      <c r="F68" s="361"/>
      <c r="G68" s="359" t="s">
        <v>273</v>
      </c>
      <c r="H68" s="337" t="s">
        <v>274</v>
      </c>
      <c r="I68" s="337" t="s">
        <v>275</v>
      </c>
      <c r="J68" s="350"/>
      <c r="K68" s="350"/>
      <c r="L68" s="350"/>
      <c r="M68" s="350"/>
      <c r="N68" s="350"/>
      <c r="O68" s="350"/>
      <c r="P68" s="350"/>
      <c r="Q68" s="350"/>
      <c r="R68" s="350"/>
    </row>
  </sheetData>
  <mergeCells count="26">
    <mergeCell ref="J4:L4"/>
    <mergeCell ref="J32:L32"/>
    <mergeCell ref="J59:L59"/>
    <mergeCell ref="A1:A3"/>
    <mergeCell ref="B1:B3"/>
    <mergeCell ref="B4:B35"/>
    <mergeCell ref="B36:B68"/>
    <mergeCell ref="C1:C3"/>
    <mergeCell ref="D1:D3"/>
    <mergeCell ref="E1:E3"/>
    <mergeCell ref="E5:E8"/>
    <mergeCell ref="E10:E13"/>
    <mergeCell ref="E14:E16"/>
    <mergeCell ref="E19:E24"/>
    <mergeCell ref="E27:E31"/>
    <mergeCell ref="E32:E34"/>
    <mergeCell ref="E37:E40"/>
    <mergeCell ref="E41:E43"/>
    <mergeCell ref="E46:E48"/>
    <mergeCell ref="E49:E51"/>
    <mergeCell ref="E54:E59"/>
    <mergeCell ref="E62:E66"/>
    <mergeCell ref="F1:F3"/>
    <mergeCell ref="G1:G3"/>
    <mergeCell ref="H1:H3"/>
    <mergeCell ref="I1:I3"/>
  </mergeCells>
  <printOptions horizontalCentered="1" verticalCentered="1"/>
  <pageMargins left="0" right="0" top="0" bottom="0" header="0" footer="0"/>
  <pageSetup paperSize="9" scale="59" orientation="landscape"/>
  <headerFooter/>
  <rowBreaks count="1" manualBreakCount="1">
    <brk id="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zoomScale="70" zoomScaleNormal="70" topLeftCell="A30" workbookViewId="0">
      <selection activeCell="C26" sqref="C26:C42"/>
    </sheetView>
  </sheetViews>
  <sheetFormatPr defaultColWidth="9.28571428571429" defaultRowHeight="20.25"/>
  <cols>
    <col min="1" max="1" width="6.28571428571429" style="24" customWidth="1"/>
    <col min="2" max="2" width="13.1428571428571" style="24" customWidth="1"/>
    <col min="3" max="3" width="12.5714285714286" style="24" customWidth="1"/>
    <col min="4" max="4" width="28.1428571428571" style="24" customWidth="1"/>
    <col min="5" max="5" width="36.1428571428571" style="24" customWidth="1"/>
    <col min="6" max="6" width="19.5714285714286" style="24" customWidth="1"/>
    <col min="7" max="7" width="19.2857142857143" style="24" customWidth="1"/>
    <col min="8" max="8" width="26.7142857142857" style="24" customWidth="1"/>
    <col min="9" max="10" width="36.1428571428571" style="24" customWidth="1"/>
    <col min="11" max="11" width="19.8571428571429" style="25" hidden="1" customWidth="1"/>
    <col min="12" max="12" width="11.7142857142857" style="25" hidden="1" customWidth="1"/>
    <col min="13" max="15" width="9.28571428571429" style="25"/>
    <col min="16" max="16" width="17.8571428571429" style="331" customWidth="1"/>
    <col min="17" max="16384" width="9.28571428571429" style="25"/>
  </cols>
  <sheetData>
    <row r="1" ht="36.75" customHeight="1" spans="1:18">
      <c r="A1" s="332" t="s">
        <v>0</v>
      </c>
      <c r="B1" s="332" t="s">
        <v>276</v>
      </c>
      <c r="C1" s="332"/>
      <c r="D1" s="332" t="s">
        <v>277</v>
      </c>
      <c r="E1" s="332" t="s">
        <v>278</v>
      </c>
      <c r="F1" s="332" t="s">
        <v>3</v>
      </c>
      <c r="G1" s="332" t="s">
        <v>4</v>
      </c>
      <c r="H1" s="332" t="s">
        <v>5</v>
      </c>
      <c r="I1" s="332" t="s">
        <v>6</v>
      </c>
      <c r="J1" s="332" t="s">
        <v>7</v>
      </c>
      <c r="K1" s="32" t="s">
        <v>279</v>
      </c>
    </row>
    <row r="2" ht="56.25" customHeight="1" spans="1:18">
      <c r="A2" s="333">
        <v>1</v>
      </c>
      <c r="B2" s="334" t="s">
        <v>280</v>
      </c>
      <c r="C2" s="334" t="s">
        <v>281</v>
      </c>
      <c r="D2" s="335" t="s">
        <v>282</v>
      </c>
      <c r="E2" s="335" t="s">
        <v>283</v>
      </c>
      <c r="F2" s="336" t="s">
        <v>284</v>
      </c>
      <c r="G2" s="335" t="s">
        <v>150</v>
      </c>
      <c r="H2" s="337" t="str">
        <f>"TW1-"&amp;C2</f>
        <v>TW1-S3-1</v>
      </c>
      <c r="I2" s="337"/>
      <c r="J2" s="337" t="s">
        <v>285</v>
      </c>
      <c r="K2" s="338" t="s">
        <v>286</v>
      </c>
      <c r="L2" s="24" t="s">
        <v>287</v>
      </c>
      <c r="M2" s="339" t="s">
        <v>241</v>
      </c>
      <c r="N2" s="340"/>
      <c r="O2" s="340"/>
      <c r="P2" s="331" t="s">
        <v>288</v>
      </c>
    </row>
    <row r="3" ht="43.5" customHeight="1" spans="1:18">
      <c r="A3" s="333">
        <v>2</v>
      </c>
      <c r="B3" s="334"/>
      <c r="C3" s="334" t="s">
        <v>289</v>
      </c>
      <c r="D3" s="335" t="s">
        <v>290</v>
      </c>
      <c r="E3" s="335" t="s">
        <v>291</v>
      </c>
      <c r="F3" s="336" t="s">
        <v>292</v>
      </c>
      <c r="G3" s="335"/>
      <c r="H3" s="337" t="str">
        <f>"TW1-"&amp;C3</f>
        <v>TW1-S3-2</v>
      </c>
      <c r="I3" s="337" t="s">
        <v>293</v>
      </c>
      <c r="J3" s="337" t="s">
        <v>294</v>
      </c>
      <c r="K3" s="338"/>
      <c r="L3" s="24"/>
    </row>
    <row r="4" ht="62.45" customHeight="1" spans="1:18">
      <c r="A4" s="333">
        <v>3</v>
      </c>
      <c r="B4" s="334"/>
      <c r="C4" s="334" t="s">
        <v>295</v>
      </c>
      <c r="D4" s="335" t="s">
        <v>296</v>
      </c>
      <c r="E4" s="335" t="s">
        <v>297</v>
      </c>
      <c r="F4" s="336"/>
      <c r="G4" s="335"/>
      <c r="H4" s="337" t="str">
        <f t="shared" ref="H4:H42" si="0">"TW1-"&amp;C4</f>
        <v>TW1-S3-3</v>
      </c>
      <c r="I4" s="337" t="s">
        <v>298</v>
      </c>
      <c r="J4" s="337" t="s">
        <v>299</v>
      </c>
      <c r="K4" s="338"/>
      <c r="L4" s="24"/>
      <c r="R4" s="25" t="s">
        <v>300</v>
      </c>
    </row>
    <row r="5" ht="56.25" customHeight="1" spans="1:18">
      <c r="A5" s="333">
        <v>4</v>
      </c>
      <c r="B5" s="334"/>
      <c r="C5" s="334" t="s">
        <v>301</v>
      </c>
      <c r="D5" s="335" t="s">
        <v>302</v>
      </c>
      <c r="E5" s="335" t="s">
        <v>303</v>
      </c>
      <c r="F5" s="336" t="s">
        <v>304</v>
      </c>
      <c r="G5" s="335"/>
      <c r="H5" s="337" t="str">
        <f t="shared" si="0"/>
        <v>TW1-S3-4</v>
      </c>
      <c r="I5" s="337"/>
      <c r="J5" s="337" t="s">
        <v>305</v>
      </c>
      <c r="K5" s="338"/>
      <c r="L5" s="24"/>
      <c r="P5" s="331" t="s">
        <v>288</v>
      </c>
    </row>
    <row r="6" ht="58.7" customHeight="1" spans="1:18">
      <c r="A6" s="333">
        <v>5</v>
      </c>
      <c r="B6" s="334" t="s">
        <v>306</v>
      </c>
      <c r="C6" s="334" t="s">
        <v>307</v>
      </c>
      <c r="D6" s="335" t="s">
        <v>308</v>
      </c>
      <c r="E6" s="341" t="s">
        <v>309</v>
      </c>
      <c r="F6" s="336" t="s">
        <v>310</v>
      </c>
      <c r="G6" s="341"/>
      <c r="H6" s="337" t="str">
        <f t="shared" si="0"/>
        <v>TW1-S4-1</v>
      </c>
      <c r="I6" s="337"/>
      <c r="J6" s="337" t="s">
        <v>311</v>
      </c>
      <c r="K6" s="338" t="s">
        <v>312</v>
      </c>
      <c r="L6" s="24" t="s">
        <v>313</v>
      </c>
      <c r="P6" s="331" t="s">
        <v>314</v>
      </c>
    </row>
    <row r="7" ht="56.25" customHeight="1" spans="1:18">
      <c r="A7" s="333">
        <v>6</v>
      </c>
      <c r="B7" s="334"/>
      <c r="C7" s="334" t="s">
        <v>315</v>
      </c>
      <c r="D7" s="335" t="s">
        <v>316</v>
      </c>
      <c r="E7" s="341" t="s">
        <v>317</v>
      </c>
      <c r="F7" s="336" t="s">
        <v>318</v>
      </c>
      <c r="G7" s="341"/>
      <c r="H7" s="337" t="str">
        <f t="shared" si="0"/>
        <v>TW1-S4-2</v>
      </c>
      <c r="I7" s="337" t="s">
        <v>319</v>
      </c>
      <c r="J7" s="337" t="s">
        <v>320</v>
      </c>
      <c r="K7" s="338"/>
      <c r="L7" s="24"/>
    </row>
    <row r="8" ht="68.25" customHeight="1" spans="1:18">
      <c r="A8" s="333">
        <v>7</v>
      </c>
      <c r="B8" s="334"/>
      <c r="C8" s="334" t="s">
        <v>321</v>
      </c>
      <c r="D8" s="335" t="s">
        <v>322</v>
      </c>
      <c r="E8" s="341" t="s">
        <v>323</v>
      </c>
      <c r="F8" s="336"/>
      <c r="G8" s="341"/>
      <c r="H8" s="337" t="str">
        <f t="shared" si="0"/>
        <v>TW1-S4-3</v>
      </c>
      <c r="I8" s="337" t="s">
        <v>324</v>
      </c>
      <c r="J8" s="337" t="s">
        <v>325</v>
      </c>
      <c r="K8" s="338"/>
      <c r="L8" s="24"/>
    </row>
    <row r="9" ht="68.25" customHeight="1" spans="1:18">
      <c r="A9" s="333">
        <v>8</v>
      </c>
      <c r="B9" s="334"/>
      <c r="C9" s="334" t="s">
        <v>326</v>
      </c>
      <c r="D9" s="335" t="s">
        <v>327</v>
      </c>
      <c r="E9" s="341" t="s">
        <v>328</v>
      </c>
      <c r="F9" s="336"/>
      <c r="G9" s="341"/>
      <c r="H9" s="337" t="str">
        <f t="shared" si="0"/>
        <v>TW1-S4-4</v>
      </c>
      <c r="I9" s="337" t="s">
        <v>329</v>
      </c>
      <c r="J9" s="337" t="s">
        <v>330</v>
      </c>
      <c r="K9" s="338"/>
      <c r="L9" s="24"/>
    </row>
    <row r="10" ht="69.75" customHeight="1" spans="1:18">
      <c r="A10" s="333">
        <v>9</v>
      </c>
      <c r="B10" s="334"/>
      <c r="C10" s="334" t="s">
        <v>331</v>
      </c>
      <c r="D10" s="335" t="s">
        <v>332</v>
      </c>
      <c r="E10" s="341" t="s">
        <v>333</v>
      </c>
      <c r="F10" s="336"/>
      <c r="G10" s="341"/>
      <c r="H10" s="337" t="str">
        <f t="shared" si="0"/>
        <v>TW1-S4-5</v>
      </c>
      <c r="I10" s="337" t="s">
        <v>334</v>
      </c>
      <c r="J10" s="337" t="s">
        <v>335</v>
      </c>
      <c r="K10" s="338"/>
      <c r="L10" s="24"/>
    </row>
    <row r="11" ht="64.5" customHeight="1" spans="1:18">
      <c r="A11" s="333">
        <v>10</v>
      </c>
      <c r="B11" s="334"/>
      <c r="C11" s="334" t="s">
        <v>336</v>
      </c>
      <c r="D11" s="335" t="s">
        <v>337</v>
      </c>
      <c r="E11" s="341" t="s">
        <v>338</v>
      </c>
      <c r="F11" s="336" t="s">
        <v>339</v>
      </c>
      <c r="G11" s="341"/>
      <c r="H11" s="337" t="str">
        <f t="shared" si="0"/>
        <v>TW1-S4-6</v>
      </c>
      <c r="I11" s="337"/>
      <c r="J11" s="337" t="s">
        <v>340</v>
      </c>
      <c r="K11" s="338"/>
      <c r="L11" s="24"/>
      <c r="P11" s="331" t="s">
        <v>314</v>
      </c>
    </row>
    <row r="12" ht="63" customHeight="1" spans="1:18">
      <c r="A12" s="333">
        <v>11</v>
      </c>
      <c r="B12" s="334"/>
      <c r="C12" s="334" t="s">
        <v>341</v>
      </c>
      <c r="D12" s="335" t="s">
        <v>342</v>
      </c>
      <c r="E12" s="341" t="s">
        <v>343</v>
      </c>
      <c r="F12" s="333" t="s">
        <v>344</v>
      </c>
      <c r="G12" s="341"/>
      <c r="H12" s="337" t="str">
        <f t="shared" si="0"/>
        <v>TW1-S4-7</v>
      </c>
      <c r="I12" s="337"/>
      <c r="J12" s="337" t="s">
        <v>345</v>
      </c>
      <c r="K12" s="338"/>
      <c r="L12" s="24"/>
      <c r="P12" s="331" t="s">
        <v>314</v>
      </c>
    </row>
    <row r="13" ht="35.25" customHeight="1" spans="1:18">
      <c r="A13" s="333">
        <v>12</v>
      </c>
      <c r="B13" s="334"/>
      <c r="C13" s="334" t="s">
        <v>346</v>
      </c>
      <c r="D13" s="335" t="s">
        <v>347</v>
      </c>
      <c r="E13" s="341" t="s">
        <v>348</v>
      </c>
      <c r="F13" s="333" t="s">
        <v>349</v>
      </c>
      <c r="G13" s="341"/>
      <c r="H13" s="337" t="str">
        <f t="shared" si="0"/>
        <v>TW1-S4-8</v>
      </c>
      <c r="I13" s="337"/>
      <c r="J13" s="337" t="s">
        <v>350</v>
      </c>
      <c r="K13" s="338"/>
      <c r="L13" s="24"/>
      <c r="P13" s="331" t="s">
        <v>314</v>
      </c>
    </row>
    <row r="14" ht="67.7" customHeight="1" spans="1:18">
      <c r="A14" s="333">
        <v>13</v>
      </c>
      <c r="B14" s="334"/>
      <c r="C14" s="334" t="s">
        <v>351</v>
      </c>
      <c r="D14" s="335" t="s">
        <v>352</v>
      </c>
      <c r="E14" s="335" t="s">
        <v>353</v>
      </c>
      <c r="F14" s="333" t="s">
        <v>354</v>
      </c>
      <c r="G14" s="335"/>
      <c r="H14" s="337" t="str">
        <f t="shared" si="0"/>
        <v>TW1-S4-9</v>
      </c>
      <c r="I14" s="337"/>
      <c r="J14" s="337" t="s">
        <v>355</v>
      </c>
      <c r="K14" s="338"/>
      <c r="L14" s="24"/>
      <c r="P14" s="331" t="s">
        <v>314</v>
      </c>
    </row>
    <row r="15" ht="60.75" customHeight="1" spans="1:18">
      <c r="A15" s="333">
        <v>14</v>
      </c>
      <c r="B15" s="334"/>
      <c r="C15" s="334" t="s">
        <v>356</v>
      </c>
      <c r="D15" s="335" t="s">
        <v>357</v>
      </c>
      <c r="E15" s="335" t="s">
        <v>358</v>
      </c>
      <c r="F15" s="333"/>
      <c r="G15" s="335"/>
      <c r="H15" s="337" t="str">
        <f t="shared" si="0"/>
        <v>TW1-S4-10</v>
      </c>
      <c r="I15" s="337"/>
      <c r="J15" s="337" t="s">
        <v>359</v>
      </c>
      <c r="K15" s="338"/>
      <c r="L15" s="24"/>
      <c r="P15" s="331" t="s">
        <v>314</v>
      </c>
    </row>
    <row r="16" ht="69.75" customHeight="1" spans="1:18">
      <c r="A16" s="333">
        <v>15</v>
      </c>
      <c r="B16" s="334"/>
      <c r="C16" s="334" t="s">
        <v>360</v>
      </c>
      <c r="D16" s="335" t="s">
        <v>361</v>
      </c>
      <c r="E16" s="335" t="s">
        <v>362</v>
      </c>
      <c r="F16" s="333" t="s">
        <v>363</v>
      </c>
      <c r="G16" s="335"/>
      <c r="H16" s="337" t="str">
        <f t="shared" si="0"/>
        <v>TW1-S4-11</v>
      </c>
      <c r="I16" s="337" t="s">
        <v>364</v>
      </c>
      <c r="J16" s="337" t="s">
        <v>365</v>
      </c>
      <c r="K16" s="338"/>
      <c r="L16" s="24"/>
    </row>
    <row r="17" ht="32.25" customHeight="1" spans="1:16">
      <c r="A17" s="333">
        <v>16</v>
      </c>
      <c r="B17" s="334"/>
      <c r="C17" s="334" t="s">
        <v>366</v>
      </c>
      <c r="D17" s="335" t="s">
        <v>367</v>
      </c>
      <c r="E17" s="335" t="s">
        <v>368</v>
      </c>
      <c r="F17" s="333" t="s">
        <v>68</v>
      </c>
      <c r="G17" s="335"/>
      <c r="H17" s="337" t="str">
        <f t="shared" si="0"/>
        <v>TW1-S4-12</v>
      </c>
      <c r="I17" s="337" t="s">
        <v>369</v>
      </c>
      <c r="J17" s="337" t="s">
        <v>370</v>
      </c>
      <c r="K17" s="338"/>
      <c r="L17" s="24"/>
    </row>
    <row r="18" ht="60" customHeight="1" spans="1:16">
      <c r="A18" s="333">
        <v>17</v>
      </c>
      <c r="B18" s="334"/>
      <c r="C18" s="334" t="s">
        <v>371</v>
      </c>
      <c r="D18" s="335" t="s">
        <v>372</v>
      </c>
      <c r="E18" s="335" t="s">
        <v>373</v>
      </c>
      <c r="F18" s="335"/>
      <c r="G18" s="335"/>
      <c r="H18" s="337" t="str">
        <f t="shared" si="0"/>
        <v>TW1-S4-13</v>
      </c>
      <c r="I18" s="337" t="s">
        <v>374</v>
      </c>
      <c r="J18" s="337" t="s">
        <v>375</v>
      </c>
      <c r="K18" s="338"/>
      <c r="L18" s="24"/>
    </row>
    <row r="19" ht="39" customHeight="1" spans="1:16">
      <c r="A19" s="333">
        <v>18</v>
      </c>
      <c r="B19" s="334"/>
      <c r="C19" s="334" t="s">
        <v>376</v>
      </c>
      <c r="D19" s="335" t="s">
        <v>377</v>
      </c>
      <c r="E19" s="335" t="s">
        <v>378</v>
      </c>
      <c r="F19" s="335"/>
      <c r="G19" s="335"/>
      <c r="H19" s="337" t="str">
        <f t="shared" si="0"/>
        <v>TW1-S4-14</v>
      </c>
      <c r="I19" s="337"/>
      <c r="J19" s="337" t="s">
        <v>379</v>
      </c>
      <c r="K19" s="338"/>
      <c r="L19" s="24"/>
      <c r="M19" s="339" t="s">
        <v>380</v>
      </c>
      <c r="N19" s="340"/>
      <c r="O19" s="340"/>
      <c r="P19" s="331" t="s">
        <v>314</v>
      </c>
    </row>
    <row r="20" ht="23.25" spans="1:16">
      <c r="A20" s="333"/>
      <c r="B20" s="333"/>
      <c r="C20" s="333"/>
      <c r="D20" s="333"/>
      <c r="E20" s="333"/>
      <c r="F20" s="333"/>
      <c r="G20" s="333"/>
      <c r="H20" s="337"/>
      <c r="I20" s="337"/>
      <c r="J20" s="337"/>
      <c r="K20" s="87"/>
    </row>
    <row r="21" ht="54.75" customHeight="1" spans="1:16">
      <c r="A21" s="333">
        <v>19</v>
      </c>
      <c r="B21" s="342" t="s">
        <v>381</v>
      </c>
      <c r="C21" s="334" t="s">
        <v>382</v>
      </c>
      <c r="D21" s="335" t="s">
        <v>383</v>
      </c>
      <c r="E21" s="335" t="s">
        <v>384</v>
      </c>
      <c r="F21" s="333" t="s">
        <v>96</v>
      </c>
      <c r="G21" s="335"/>
      <c r="H21" s="337" t="str">
        <f t="shared" si="0"/>
        <v>TW1-S1-1</v>
      </c>
      <c r="I21" s="337"/>
      <c r="J21" s="337" t="s">
        <v>385</v>
      </c>
      <c r="K21" s="338" t="s">
        <v>386</v>
      </c>
      <c r="L21" s="343" t="s">
        <v>387</v>
      </c>
      <c r="P21" s="331" t="s">
        <v>288</v>
      </c>
    </row>
    <row r="22" ht="57.2" customHeight="1" spans="1:16">
      <c r="A22" s="333">
        <v>20</v>
      </c>
      <c r="B22" s="342"/>
      <c r="C22" s="334" t="s">
        <v>388</v>
      </c>
      <c r="D22" s="335" t="s">
        <v>389</v>
      </c>
      <c r="E22" s="335" t="s">
        <v>390</v>
      </c>
      <c r="F22" s="333" t="s">
        <v>391</v>
      </c>
      <c r="G22" s="335"/>
      <c r="H22" s="337" t="str">
        <f t="shared" si="0"/>
        <v>TW1-S1-2</v>
      </c>
      <c r="I22" s="337" t="s">
        <v>392</v>
      </c>
      <c r="J22" s="337" t="s">
        <v>393</v>
      </c>
      <c r="K22" s="338"/>
      <c r="L22" s="343"/>
    </row>
    <row r="23" ht="69" customHeight="1" spans="1:16">
      <c r="A23" s="333">
        <v>21</v>
      </c>
      <c r="B23" s="342"/>
      <c r="C23" s="334" t="s">
        <v>394</v>
      </c>
      <c r="D23" s="335" t="s">
        <v>395</v>
      </c>
      <c r="E23" s="335" t="s">
        <v>396</v>
      </c>
      <c r="F23" s="333"/>
      <c r="G23" s="335"/>
      <c r="H23" s="337" t="str">
        <f t="shared" si="0"/>
        <v>TW1-S1-3</v>
      </c>
      <c r="I23" s="337" t="s">
        <v>397</v>
      </c>
      <c r="J23" s="337" t="s">
        <v>398</v>
      </c>
      <c r="K23" s="338"/>
      <c r="L23" s="343"/>
    </row>
    <row r="24" ht="69" customHeight="1" spans="1:16">
      <c r="A24" s="333">
        <v>22</v>
      </c>
      <c r="B24" s="342"/>
      <c r="C24" s="334" t="s">
        <v>399</v>
      </c>
      <c r="D24" s="335" t="s">
        <v>400</v>
      </c>
      <c r="E24" s="335" t="s">
        <v>401</v>
      </c>
      <c r="F24" s="333"/>
      <c r="G24" s="335"/>
      <c r="H24" s="337" t="str">
        <f t="shared" si="0"/>
        <v>TW1-S1-4</v>
      </c>
      <c r="I24" s="337" t="s">
        <v>402</v>
      </c>
      <c r="J24" s="337" t="s">
        <v>403</v>
      </c>
      <c r="K24" s="338"/>
      <c r="L24" s="343"/>
    </row>
    <row r="25" ht="55.5" customHeight="1" spans="1:16">
      <c r="A25" s="333">
        <v>23</v>
      </c>
      <c r="B25" s="342"/>
      <c r="C25" s="334" t="s">
        <v>404</v>
      </c>
      <c r="D25" s="335" t="s">
        <v>405</v>
      </c>
      <c r="E25" s="335" t="s">
        <v>406</v>
      </c>
      <c r="F25" s="333" t="s">
        <v>68</v>
      </c>
      <c r="G25" s="335"/>
      <c r="H25" s="337" t="str">
        <f t="shared" si="0"/>
        <v>TW1-S1-5</v>
      </c>
      <c r="I25" s="337" t="s">
        <v>407</v>
      </c>
      <c r="J25" s="337" t="s">
        <v>408</v>
      </c>
      <c r="K25" s="338"/>
      <c r="L25" s="343"/>
    </row>
    <row r="26" ht="58.7" customHeight="1" spans="1:16">
      <c r="A26" s="333">
        <v>24</v>
      </c>
      <c r="B26" s="334" t="s">
        <v>409</v>
      </c>
      <c r="C26" s="334" t="s">
        <v>410</v>
      </c>
      <c r="D26" s="335" t="s">
        <v>411</v>
      </c>
      <c r="E26" s="335" t="s">
        <v>412</v>
      </c>
      <c r="F26" s="336" t="s">
        <v>310</v>
      </c>
      <c r="G26" s="335"/>
      <c r="H26" s="337" t="str">
        <f t="shared" si="0"/>
        <v>TW1-S2-1</v>
      </c>
      <c r="I26" s="337" t="s">
        <v>413</v>
      </c>
      <c r="J26" s="337" t="s">
        <v>414</v>
      </c>
      <c r="K26" s="338" t="s">
        <v>415</v>
      </c>
      <c r="L26" s="343" t="s">
        <v>416</v>
      </c>
    </row>
    <row r="27" ht="54.75" customHeight="1" spans="1:16">
      <c r="A27" s="333">
        <v>25</v>
      </c>
      <c r="B27" s="334"/>
      <c r="C27" s="334" t="s">
        <v>417</v>
      </c>
      <c r="D27" s="335" t="s">
        <v>418</v>
      </c>
      <c r="E27" s="335" t="s">
        <v>419</v>
      </c>
      <c r="F27" s="336"/>
      <c r="G27" s="335"/>
      <c r="H27" s="337" t="str">
        <f t="shared" si="0"/>
        <v>TW1-S2-2</v>
      </c>
      <c r="I27" s="337" t="s">
        <v>420</v>
      </c>
      <c r="J27" s="337" t="s">
        <v>421</v>
      </c>
      <c r="K27" s="338"/>
      <c r="L27" s="343"/>
    </row>
    <row r="28" ht="56.25" customHeight="1" spans="1:16">
      <c r="A28" s="333">
        <v>26</v>
      </c>
      <c r="B28" s="334"/>
      <c r="C28" s="334" t="s">
        <v>422</v>
      </c>
      <c r="D28" s="335" t="s">
        <v>423</v>
      </c>
      <c r="E28" s="335" t="s">
        <v>424</v>
      </c>
      <c r="F28" s="336"/>
      <c r="G28" s="335"/>
      <c r="H28" s="337" t="str">
        <f t="shared" si="0"/>
        <v>TW1-S2-3</v>
      </c>
      <c r="I28" s="337" t="s">
        <v>425</v>
      </c>
      <c r="J28" s="337" t="s">
        <v>426</v>
      </c>
      <c r="K28" s="338"/>
      <c r="L28" s="343"/>
    </row>
    <row r="29" ht="56.25" customHeight="1" spans="1:16">
      <c r="A29" s="333">
        <v>27</v>
      </c>
      <c r="B29" s="334"/>
      <c r="C29" s="342" t="s">
        <v>427</v>
      </c>
      <c r="D29" s="344" t="s">
        <v>428</v>
      </c>
      <c r="E29" s="344" t="s">
        <v>429</v>
      </c>
      <c r="F29" s="345" t="s">
        <v>430</v>
      </c>
      <c r="G29" s="344"/>
      <c r="H29" s="337" t="str">
        <f t="shared" si="0"/>
        <v>TW1-S2-4</v>
      </c>
      <c r="I29" s="337" t="s">
        <v>431</v>
      </c>
      <c r="J29" s="337" t="s">
        <v>432</v>
      </c>
      <c r="K29" s="338"/>
      <c r="L29" s="343"/>
    </row>
    <row r="30" ht="54" customHeight="1" spans="1:16">
      <c r="A30" s="333">
        <v>28</v>
      </c>
      <c r="B30" s="334"/>
      <c r="C30" s="342" t="s">
        <v>433</v>
      </c>
      <c r="D30" s="344" t="s">
        <v>434</v>
      </c>
      <c r="E30" s="344" t="s">
        <v>435</v>
      </c>
      <c r="F30" s="345"/>
      <c r="G30" s="344"/>
      <c r="H30" s="337" t="str">
        <f t="shared" si="0"/>
        <v>TW1-S2-5</v>
      </c>
      <c r="I30" s="337"/>
      <c r="J30" s="337" t="s">
        <v>436</v>
      </c>
      <c r="K30" s="338"/>
      <c r="L30" s="343"/>
      <c r="M30" s="331" t="s">
        <v>437</v>
      </c>
      <c r="N30" s="331"/>
      <c r="O30" s="331"/>
    </row>
    <row r="31" ht="84.2" customHeight="1" spans="1:16">
      <c r="A31" s="333">
        <v>29</v>
      </c>
      <c r="B31" s="334"/>
      <c r="C31" s="342" t="s">
        <v>438</v>
      </c>
      <c r="D31" s="344" t="s">
        <v>439</v>
      </c>
      <c r="E31" s="344" t="s">
        <v>440</v>
      </c>
      <c r="F31" s="345"/>
      <c r="G31" s="344"/>
      <c r="H31" s="337" t="str">
        <f t="shared" si="0"/>
        <v>TW1-S2-6</v>
      </c>
      <c r="I31" s="337" t="s">
        <v>441</v>
      </c>
      <c r="J31" s="337" t="s">
        <v>442</v>
      </c>
      <c r="K31" s="338"/>
      <c r="L31" s="343"/>
    </row>
    <row r="32" ht="50.25" customHeight="1" spans="1:16">
      <c r="A32" s="333">
        <v>30</v>
      </c>
      <c r="B32" s="334"/>
      <c r="C32" s="342" t="s">
        <v>443</v>
      </c>
      <c r="D32" s="344" t="s">
        <v>444</v>
      </c>
      <c r="E32" s="344" t="s">
        <v>445</v>
      </c>
      <c r="F32" s="345"/>
      <c r="G32" s="344"/>
      <c r="H32" s="337" t="str">
        <f t="shared" si="0"/>
        <v>TW1-S2-7</v>
      </c>
      <c r="I32" s="337" t="s">
        <v>446</v>
      </c>
      <c r="J32" s="337" t="s">
        <v>447</v>
      </c>
      <c r="K32" s="338"/>
      <c r="L32" s="343"/>
    </row>
    <row r="33" ht="63.75" customHeight="1" spans="1:16">
      <c r="A33" s="333">
        <v>31</v>
      </c>
      <c r="B33" s="334"/>
      <c r="C33" s="342" t="s">
        <v>448</v>
      </c>
      <c r="D33" s="344" t="s">
        <v>449</v>
      </c>
      <c r="E33" s="344" t="s">
        <v>450</v>
      </c>
      <c r="F33" s="345" t="s">
        <v>451</v>
      </c>
      <c r="G33" s="344"/>
      <c r="H33" s="337" t="str">
        <f t="shared" si="0"/>
        <v>TW1-S2-8</v>
      </c>
      <c r="I33" s="337" t="s">
        <v>452</v>
      </c>
      <c r="J33" s="337" t="s">
        <v>453</v>
      </c>
      <c r="K33" s="338"/>
      <c r="L33" s="343"/>
    </row>
    <row r="34" ht="54.75" customHeight="1" spans="1:16">
      <c r="A34" s="333">
        <v>32</v>
      </c>
      <c r="B34" s="334"/>
      <c r="C34" s="342" t="s">
        <v>454</v>
      </c>
      <c r="D34" s="344" t="s">
        <v>455</v>
      </c>
      <c r="E34" s="344" t="s">
        <v>456</v>
      </c>
      <c r="F34" s="345" t="s">
        <v>457</v>
      </c>
      <c r="G34" s="344"/>
      <c r="H34" s="337" t="str">
        <f t="shared" si="0"/>
        <v>TW1-S2-9</v>
      </c>
      <c r="I34" s="337" t="s">
        <v>458</v>
      </c>
      <c r="J34" s="337" t="s">
        <v>459</v>
      </c>
      <c r="K34" s="338"/>
      <c r="L34" s="343"/>
    </row>
    <row r="35" ht="63.75" customHeight="1" spans="1:16">
      <c r="A35" s="333">
        <v>33</v>
      </c>
      <c r="B35" s="334"/>
      <c r="C35" s="342" t="s">
        <v>460</v>
      </c>
      <c r="D35" s="344" t="s">
        <v>461</v>
      </c>
      <c r="E35" s="344" t="s">
        <v>462</v>
      </c>
      <c r="F35" s="345"/>
      <c r="G35" s="344"/>
      <c r="H35" s="337" t="str">
        <f t="shared" si="0"/>
        <v>TW1-S2-10</v>
      </c>
      <c r="I35" s="337" t="s">
        <v>463</v>
      </c>
      <c r="J35" s="337" t="s">
        <v>464</v>
      </c>
      <c r="K35" s="338"/>
      <c r="L35" s="343"/>
    </row>
    <row r="36" ht="45" customHeight="1" spans="1:16">
      <c r="A36" s="333">
        <v>34</v>
      </c>
      <c r="B36" s="334"/>
      <c r="C36" s="342" t="s">
        <v>465</v>
      </c>
      <c r="D36" s="344" t="s">
        <v>466</v>
      </c>
      <c r="E36" s="344" t="s">
        <v>467</v>
      </c>
      <c r="F36" s="345" t="s">
        <v>468</v>
      </c>
      <c r="G36" s="344"/>
      <c r="H36" s="337" t="str">
        <f t="shared" si="0"/>
        <v>TW1-S2-11</v>
      </c>
      <c r="I36" s="337" t="s">
        <v>469</v>
      </c>
      <c r="J36" s="337" t="s">
        <v>470</v>
      </c>
      <c r="K36" s="338"/>
      <c r="L36" s="343"/>
    </row>
    <row r="37" ht="54" customHeight="1" spans="1:16">
      <c r="A37" s="333">
        <v>35</v>
      </c>
      <c r="B37" s="334"/>
      <c r="C37" s="342" t="s">
        <v>471</v>
      </c>
      <c r="D37" s="344" t="s">
        <v>472</v>
      </c>
      <c r="E37" s="344" t="s">
        <v>473</v>
      </c>
      <c r="F37" s="345"/>
      <c r="G37" s="344"/>
      <c r="H37" s="337" t="str">
        <f t="shared" si="0"/>
        <v>TW1-S2-12</v>
      </c>
      <c r="I37" s="337" t="s">
        <v>474</v>
      </c>
      <c r="J37" s="337" t="s">
        <v>475</v>
      </c>
      <c r="K37" s="338"/>
      <c r="L37" s="343"/>
    </row>
    <row r="38" ht="59.25" customHeight="1" spans="1:16">
      <c r="A38" s="333">
        <v>36</v>
      </c>
      <c r="B38" s="334"/>
      <c r="C38" s="342" t="s">
        <v>476</v>
      </c>
      <c r="D38" s="344" t="s">
        <v>477</v>
      </c>
      <c r="E38" s="344" t="s">
        <v>478</v>
      </c>
      <c r="F38" s="345"/>
      <c r="G38" s="344"/>
      <c r="H38" s="337" t="str">
        <f t="shared" si="0"/>
        <v>TW1-S2-13</v>
      </c>
      <c r="I38" s="337" t="s">
        <v>479</v>
      </c>
      <c r="J38" s="337" t="s">
        <v>480</v>
      </c>
      <c r="K38" s="338"/>
      <c r="L38" s="343"/>
    </row>
    <row r="39" ht="59.25" customHeight="1" spans="1:16">
      <c r="A39" s="333">
        <v>37</v>
      </c>
      <c r="B39" s="334"/>
      <c r="C39" s="342" t="s">
        <v>481</v>
      </c>
      <c r="D39" s="344" t="s">
        <v>482</v>
      </c>
      <c r="E39" s="344" t="s">
        <v>483</v>
      </c>
      <c r="F39" s="345"/>
      <c r="G39" s="344"/>
      <c r="H39" s="337" t="str">
        <f t="shared" si="0"/>
        <v>TW1-S2-14</v>
      </c>
      <c r="I39" s="337" t="s">
        <v>484</v>
      </c>
      <c r="J39" s="337" t="s">
        <v>485</v>
      </c>
      <c r="K39" s="338"/>
      <c r="L39" s="343"/>
    </row>
    <row r="40" ht="66.2" customHeight="1" spans="1:16">
      <c r="A40" s="333">
        <v>38</v>
      </c>
      <c r="B40" s="334"/>
      <c r="C40" s="342" t="s">
        <v>486</v>
      </c>
      <c r="D40" s="344" t="s">
        <v>487</v>
      </c>
      <c r="E40" s="344" t="s">
        <v>488</v>
      </c>
      <c r="F40" s="345"/>
      <c r="G40" s="344"/>
      <c r="H40" s="337" t="str">
        <f t="shared" si="0"/>
        <v>TW1-S2-15</v>
      </c>
      <c r="I40" s="337" t="s">
        <v>489</v>
      </c>
      <c r="J40" s="337" t="s">
        <v>490</v>
      </c>
      <c r="K40" s="338"/>
      <c r="L40" s="343"/>
    </row>
    <row r="41" ht="47.25" customHeight="1" spans="1:16">
      <c r="A41" s="333">
        <v>39</v>
      </c>
      <c r="B41" s="334"/>
      <c r="C41" s="334" t="s">
        <v>491</v>
      </c>
      <c r="D41" s="335" t="s">
        <v>492</v>
      </c>
      <c r="E41" s="335" t="s">
        <v>493</v>
      </c>
      <c r="F41" s="333" t="s">
        <v>494</v>
      </c>
      <c r="G41" s="335"/>
      <c r="H41" s="337" t="str">
        <f t="shared" si="0"/>
        <v>TW1-S2-16</v>
      </c>
      <c r="I41" s="337"/>
      <c r="J41" s="337" t="s">
        <v>495</v>
      </c>
      <c r="K41" s="338"/>
      <c r="L41" s="343"/>
      <c r="P41" s="331" t="s">
        <v>288</v>
      </c>
    </row>
    <row r="42" ht="33.75" customHeight="1" spans="1:16">
      <c r="A42" s="333">
        <v>40</v>
      </c>
      <c r="B42" s="334"/>
      <c r="C42" s="334" t="s">
        <v>496</v>
      </c>
      <c r="D42" s="335" t="s">
        <v>497</v>
      </c>
      <c r="E42" s="335" t="s">
        <v>368</v>
      </c>
      <c r="F42" s="333" t="s">
        <v>68</v>
      </c>
      <c r="G42" s="335"/>
      <c r="H42" s="337" t="str">
        <f t="shared" si="0"/>
        <v>TW1-S2-17</v>
      </c>
      <c r="I42" s="337"/>
      <c r="J42" s="337" t="s">
        <v>498</v>
      </c>
      <c r="K42" s="338"/>
      <c r="L42" s="343"/>
      <c r="M42" s="346" t="s">
        <v>499</v>
      </c>
      <c r="N42" s="346"/>
      <c r="O42" s="346"/>
      <c r="P42" s="346"/>
    </row>
  </sheetData>
  <mergeCells count="25">
    <mergeCell ref="M2:O2"/>
    <mergeCell ref="M19:O19"/>
    <mergeCell ref="A20:E20"/>
    <mergeCell ref="M30:P30"/>
    <mergeCell ref="M42:P42"/>
    <mergeCell ref="B2:B5"/>
    <mergeCell ref="B6:B19"/>
    <mergeCell ref="B21:B25"/>
    <mergeCell ref="B26:B42"/>
    <mergeCell ref="F3:F4"/>
    <mergeCell ref="F7:F10"/>
    <mergeCell ref="F14:F15"/>
    <mergeCell ref="F22:F24"/>
    <mergeCell ref="F26:F28"/>
    <mergeCell ref="F29:F32"/>
    <mergeCell ref="F34:F35"/>
    <mergeCell ref="F36:F40"/>
    <mergeCell ref="K2:K5"/>
    <mergeCell ref="K6:K19"/>
    <mergeCell ref="K21:K25"/>
    <mergeCell ref="K26:K42"/>
    <mergeCell ref="L2:L5"/>
    <mergeCell ref="L6:L19"/>
    <mergeCell ref="L21:L25"/>
    <mergeCell ref="L26:L42"/>
  </mergeCells>
  <conditionalFormatting sqref="J2">
    <cfRule type="expression" dxfId="0" priority="4">
      <formula>#REF!&lt;&gt;""</formula>
    </cfRule>
  </conditionalFormatting>
  <conditionalFormatting sqref="I3">
    <cfRule type="expression" dxfId="0" priority="9">
      <formula>#REF!&lt;&gt;""</formula>
    </cfRule>
  </conditionalFormatting>
  <conditionalFormatting sqref="J3">
    <cfRule type="expression" dxfId="0" priority="1">
      <formula>#REF!&lt;&gt;""</formula>
    </cfRule>
  </conditionalFormatting>
  <conditionalFormatting sqref="I4">
    <cfRule type="expression" dxfId="0" priority="10">
      <formula>#REF!&lt;&gt;""</formula>
    </cfRule>
  </conditionalFormatting>
  <conditionalFormatting sqref="J4">
    <cfRule type="expression" dxfId="0" priority="2">
      <formula>#REF!&lt;&gt;""</formula>
    </cfRule>
  </conditionalFormatting>
  <conditionalFormatting sqref="J5">
    <cfRule type="expression" dxfId="0" priority="3">
      <formula>#REF!&lt;&gt;""</formula>
    </cfRule>
  </conditionalFormatting>
  <conditionalFormatting sqref="D2:D19">
    <cfRule type="expression" dxfId="0" priority="55">
      <formula>#REF!&lt;&gt;""</formula>
    </cfRule>
  </conditionalFormatting>
  <conditionalFormatting sqref="D21:D42">
    <cfRule type="expression" dxfId="0" priority="29">
      <formula>#REF!&lt;&gt;""</formula>
    </cfRule>
  </conditionalFormatting>
  <conditionalFormatting sqref="E2:E5 G2:I2 G3:G5 H3:H42 J6:J42 I5">
    <cfRule type="expression" dxfId="0" priority="70">
      <formula>#REF!&lt;&gt;""</formula>
    </cfRule>
  </conditionalFormatting>
  <conditionalFormatting sqref="E6 G6 I6">
    <cfRule type="expression" dxfId="0" priority="62">
      <formula>#REF!&lt;&gt;""</formula>
    </cfRule>
  </conditionalFormatting>
  <conditionalFormatting sqref="E7 G7 I7">
    <cfRule type="expression" dxfId="0" priority="61">
      <formula>#REF!&lt;&gt;""</formula>
    </cfRule>
  </conditionalFormatting>
  <conditionalFormatting sqref="E8 G8 I8">
    <cfRule type="expression" dxfId="0" priority="60">
      <formula>#REF!&lt;&gt;""</formula>
    </cfRule>
  </conditionalFormatting>
  <conditionalFormatting sqref="E9 G9 I9">
    <cfRule type="expression" dxfId="0" priority="59">
      <formula>#REF!&lt;&gt;""</formula>
    </cfRule>
  </conditionalFormatting>
  <conditionalFormatting sqref="E10 G10 I10">
    <cfRule type="expression" dxfId="0" priority="58">
      <formula>#REF!&lt;&gt;""</formula>
    </cfRule>
  </conditionalFormatting>
  <conditionalFormatting sqref="E11:E19 G11:G19 I11:I19">
    <cfRule type="expression" dxfId="0" priority="57">
      <formula>#REF!&lt;&gt;""</formula>
    </cfRule>
  </conditionalFormatting>
  <conditionalFormatting sqref="E21 G21 I21">
    <cfRule type="expression" dxfId="0" priority="54">
      <formula>#REF!&lt;&gt;""</formula>
    </cfRule>
  </conditionalFormatting>
  <conditionalFormatting sqref="E22 G22 I22">
    <cfRule type="expression" dxfId="0" priority="48">
      <formula>#REF!&lt;&gt;""</formula>
    </cfRule>
  </conditionalFormatting>
  <conditionalFormatting sqref="E23 G23 I23">
    <cfRule type="expression" dxfId="0" priority="47">
      <formula>#REF!&lt;&gt;""</formula>
    </cfRule>
  </conditionalFormatting>
  <conditionalFormatting sqref="E24 G24 I24">
    <cfRule type="expression" dxfId="0" priority="46">
      <formula>#REF!&lt;&gt;""</formula>
    </cfRule>
  </conditionalFormatting>
  <conditionalFormatting sqref="E25 G25 I25">
    <cfRule type="expression" dxfId="0" priority="45">
      <formula>#REF!&lt;&gt;""</formula>
    </cfRule>
  </conditionalFormatting>
  <conditionalFormatting sqref="E26 G26 I26">
    <cfRule type="expression" dxfId="0" priority="27">
      <formula>#REF!&lt;&gt;""</formula>
    </cfRule>
  </conditionalFormatting>
  <conditionalFormatting sqref="E27 G27 I27">
    <cfRule type="expression" dxfId="0" priority="44">
      <formula>#REF!&lt;&gt;""</formula>
    </cfRule>
  </conditionalFormatting>
  <conditionalFormatting sqref="E28 G28 I28">
    <cfRule type="expression" dxfId="0" priority="43">
      <formula>#REF!&lt;&gt;""</formula>
    </cfRule>
  </conditionalFormatting>
  <conditionalFormatting sqref="E29 G29 I29">
    <cfRule type="expression" dxfId="0" priority="42">
      <formula>#REF!&lt;&gt;""</formula>
    </cfRule>
  </conditionalFormatting>
  <conditionalFormatting sqref="E30 G30 I30">
    <cfRule type="expression" dxfId="0" priority="41">
      <formula>#REF!&lt;&gt;""</formula>
    </cfRule>
  </conditionalFormatting>
  <conditionalFormatting sqref="E31 G31 I31">
    <cfRule type="expression" dxfId="0" priority="40">
      <formula>#REF!&lt;&gt;""</formula>
    </cfRule>
  </conditionalFormatting>
  <conditionalFormatting sqref="E32:E33 G32:G33 I32:I33">
    <cfRule type="expression" dxfId="0" priority="39">
      <formula>#REF!&lt;&gt;""</formula>
    </cfRule>
  </conditionalFormatting>
  <conditionalFormatting sqref="E34 G34 I34">
    <cfRule type="expression" dxfId="0" priority="38">
      <formula>#REF!&lt;&gt;""</formula>
    </cfRule>
  </conditionalFormatting>
  <conditionalFormatting sqref="E35 G35 I35">
    <cfRule type="expression" dxfId="0" priority="37">
      <formula>#REF!&lt;&gt;""</formula>
    </cfRule>
  </conditionalFormatting>
  <conditionalFormatting sqref="E36 G36 I36">
    <cfRule type="expression" dxfId="0" priority="36">
      <formula>#REF!&lt;&gt;""</formula>
    </cfRule>
  </conditionalFormatting>
  <conditionalFormatting sqref="E37 G37 I37">
    <cfRule type="expression" dxfId="0" priority="35">
      <formula>#REF!&lt;&gt;""</formula>
    </cfRule>
  </conditionalFormatting>
  <conditionalFormatting sqref="E38 G38 I38">
    <cfRule type="expression" dxfId="0" priority="34">
      <formula>#REF!&lt;&gt;""</formula>
    </cfRule>
  </conditionalFormatting>
  <conditionalFormatting sqref="E39 G39 I39">
    <cfRule type="expression" dxfId="0" priority="33">
      <formula>#REF!&lt;&gt;""</formula>
    </cfRule>
  </conditionalFormatting>
  <conditionalFormatting sqref="E40 G40 I40">
    <cfRule type="expression" dxfId="0" priority="32">
      <formula>#REF!&lt;&gt;""</formula>
    </cfRule>
  </conditionalFormatting>
  <conditionalFormatting sqref="E41 G41 I41">
    <cfRule type="expression" dxfId="0" priority="31">
      <formula>#REF!&lt;&gt;""</formula>
    </cfRule>
  </conditionalFormatting>
  <conditionalFormatting sqref="E42 G42 I42">
    <cfRule type="expression" dxfId="0" priority="30">
      <formula>#REF!&lt;&gt;""</formula>
    </cfRule>
  </conditionalFormatting>
  <printOptions horizontalCentered="1" verticalCentered="1"/>
  <pageMargins left="0" right="0" top="0" bottom="0" header="0" footer="0"/>
  <pageSetup paperSize="9" scale="61" orientation="landscape"/>
  <headerFooter/>
  <rowBreaks count="2" manualBreakCount="2">
    <brk id="16" max="16383" man="1"/>
    <brk id="32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D5" sqref="D5"/>
    </sheetView>
  </sheetViews>
  <sheetFormatPr defaultColWidth="9" defaultRowHeight="15" outlineLevelCol="4"/>
  <cols>
    <col min="1" max="1" width="10.1428571428571" customWidth="1"/>
    <col min="2" max="3" width="20.5714285714286" customWidth="1"/>
    <col min="4" max="4" width="17.2857142857143" customWidth="1"/>
    <col min="5" max="5" width="35.7142857142857" customWidth="1"/>
  </cols>
  <sheetData>
    <row r="1" ht="25.5" spans="1:5">
      <c r="A1" s="327" t="s">
        <v>500</v>
      </c>
      <c r="B1" s="328"/>
      <c r="C1" s="328"/>
      <c r="D1" s="328"/>
      <c r="E1" s="329"/>
    </row>
    <row r="2" spans="1:5">
      <c r="A2" s="330" t="s">
        <v>501</v>
      </c>
      <c r="B2" s="330" t="s">
        <v>502</v>
      </c>
      <c r="C2" s="330" t="s">
        <v>503</v>
      </c>
      <c r="D2" s="330" t="s">
        <v>15</v>
      </c>
      <c r="E2" s="330" t="s">
        <v>504</v>
      </c>
    </row>
    <row r="3" spans="1:5">
      <c r="A3" s="330" t="s">
        <v>505</v>
      </c>
      <c r="B3" s="330" t="s">
        <v>506</v>
      </c>
      <c r="C3" s="330" t="s">
        <v>507</v>
      </c>
      <c r="D3" s="330" t="s">
        <v>130</v>
      </c>
      <c r="E3" s="330" t="s">
        <v>508</v>
      </c>
    </row>
    <row r="4" spans="1:5">
      <c r="A4" s="330" t="s">
        <v>509</v>
      </c>
      <c r="B4" s="330" t="s">
        <v>510</v>
      </c>
      <c r="C4" s="330" t="s">
        <v>511</v>
      </c>
      <c r="D4" s="330" t="s">
        <v>241</v>
      </c>
      <c r="E4" s="330" t="s">
        <v>512</v>
      </c>
    </row>
    <row r="5" spans="1:5">
      <c r="A5" s="330" t="s">
        <v>513</v>
      </c>
      <c r="B5" s="330" t="s">
        <v>514</v>
      </c>
      <c r="C5" s="330" t="s">
        <v>515</v>
      </c>
      <c r="D5" s="330" t="s">
        <v>380</v>
      </c>
      <c r="E5" s="330" t="s">
        <v>516</v>
      </c>
    </row>
    <row r="6" spans="1:5">
      <c r="A6" s="330" t="s">
        <v>517</v>
      </c>
      <c r="B6" s="330" t="s">
        <v>518</v>
      </c>
      <c r="C6" s="330" t="s">
        <v>519</v>
      </c>
      <c r="D6" s="330" t="s">
        <v>520</v>
      </c>
      <c r="E6" s="330" t="s">
        <v>521</v>
      </c>
    </row>
    <row r="7" spans="1:5">
      <c r="A7" s="330" t="s">
        <v>522</v>
      </c>
      <c r="B7" s="330" t="s">
        <v>523</v>
      </c>
      <c r="C7" s="330" t="s">
        <v>524</v>
      </c>
      <c r="D7" s="330" t="s">
        <v>525</v>
      </c>
      <c r="E7" s="330" t="s">
        <v>526</v>
      </c>
    </row>
    <row r="8" spans="1:5">
      <c r="A8" s="330" t="s">
        <v>527</v>
      </c>
      <c r="B8" s="330" t="s">
        <v>528</v>
      </c>
      <c r="C8" s="330" t="s">
        <v>529</v>
      </c>
      <c r="D8" s="330" t="s">
        <v>530</v>
      </c>
      <c r="E8" s="330" t="s">
        <v>531</v>
      </c>
    </row>
    <row r="9" spans="1:5">
      <c r="A9" s="330" t="s">
        <v>532</v>
      </c>
      <c r="B9" s="330" t="s">
        <v>533</v>
      </c>
      <c r="C9" s="330" t="s">
        <v>534</v>
      </c>
      <c r="D9" s="330" t="s">
        <v>535</v>
      </c>
      <c r="E9" s="330" t="s">
        <v>536</v>
      </c>
    </row>
  </sheetData>
  <mergeCells count="1">
    <mergeCell ref="A1:E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3"/>
  <sheetViews>
    <sheetView zoomScale="85" zoomScaleNormal="85" topLeftCell="A50" workbookViewId="0">
      <selection activeCell="L7" sqref="L7:L12"/>
    </sheetView>
  </sheetViews>
  <sheetFormatPr defaultColWidth="8.85714285714286" defaultRowHeight="15"/>
  <cols>
    <col min="1" max="1" width="4.42857142857143" style="214" customWidth="1"/>
    <col min="2" max="2" width="14.4285714285714" style="215" customWidth="1"/>
    <col min="3" max="3" width="23.5714285714286" style="215" customWidth="1"/>
    <col min="4" max="4" width="21.1428571428571" style="215" customWidth="1"/>
    <col min="5" max="5" width="73.4285714285714" style="215" customWidth="1"/>
    <col min="6" max="6" width="91.4285714285714" style="215" customWidth="1"/>
    <col min="7" max="7" width="12" style="215" customWidth="1"/>
    <col min="8" max="8" width="7.28571428571429" style="215" customWidth="1"/>
    <col min="9" max="9" width="8.42857142857143" style="215" customWidth="1"/>
    <col min="10" max="10" width="14.4285714285714" style="215" customWidth="1"/>
    <col min="11" max="11" width="28.4285714285714" style="215" customWidth="1"/>
    <col min="12" max="12" width="21.1428571428571" style="215" customWidth="1"/>
    <col min="13" max="13" width="27.5714285714286" style="215" customWidth="1"/>
    <col min="14" max="14" width="28.2857142857143" style="216" customWidth="1"/>
    <col min="15" max="15" width="33.8571428571429" style="216" customWidth="1"/>
    <col min="16" max="16" width="43" style="215" customWidth="1"/>
    <col min="17" max="17" width="20.2857142857143" style="215" customWidth="1"/>
    <col min="18" max="31" width="9.42857142857143" style="215" customWidth="1"/>
    <col min="32" max="16384" width="8.85714285714286" style="137"/>
  </cols>
  <sheetData>
    <row r="1" s="210" customFormat="1" ht="20.1" customHeight="1" spans="1:31">
      <c r="C1" s="217"/>
      <c r="D1" s="217"/>
      <c r="E1" s="218" t="s">
        <v>537</v>
      </c>
      <c r="F1" s="217"/>
      <c r="H1" s="217"/>
      <c r="I1" s="217"/>
      <c r="J1" s="217"/>
      <c r="K1" s="219"/>
      <c r="L1" s="219"/>
      <c r="M1" s="217"/>
      <c r="N1" s="220"/>
      <c r="O1" s="220"/>
    </row>
    <row r="2" s="211" customFormat="1" ht="30" customHeight="1" spans="1:31">
      <c r="A2" s="221" t="s">
        <v>538</v>
      </c>
      <c r="B2" s="221"/>
      <c r="C2" s="222"/>
      <c r="D2" s="222"/>
      <c r="E2" s="221"/>
      <c r="F2" s="221"/>
      <c r="G2" s="221"/>
      <c r="H2" s="221"/>
      <c r="I2" s="221"/>
      <c r="J2" s="221"/>
      <c r="K2" s="223"/>
      <c r="L2" s="223"/>
      <c r="M2" s="221"/>
      <c r="N2" s="224"/>
      <c r="O2" s="224"/>
    </row>
    <row r="3" s="212" customFormat="1" ht="15.75" spans="1:31">
      <c r="A3" s="225" t="s">
        <v>539</v>
      </c>
      <c r="E3" s="225" t="s">
        <v>540</v>
      </c>
      <c r="F3" s="225" t="s">
        <v>541</v>
      </c>
      <c r="H3" s="225"/>
      <c r="I3" s="225"/>
      <c r="J3" s="225"/>
      <c r="M3" s="225"/>
      <c r="N3" s="226"/>
      <c r="O3" s="226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</row>
    <row r="4" s="212" customFormat="1" ht="21.75" customHeight="1" spans="1:31">
      <c r="A4" s="228" t="s">
        <v>0</v>
      </c>
      <c r="B4" s="228" t="s">
        <v>542</v>
      </c>
      <c r="C4" s="229" t="s">
        <v>1</v>
      </c>
      <c r="D4" s="230"/>
      <c r="E4" s="231" t="s">
        <v>543</v>
      </c>
      <c r="F4" s="232" t="s">
        <v>544</v>
      </c>
      <c r="G4" s="233" t="s">
        <v>545</v>
      </c>
      <c r="H4" s="233" t="s">
        <v>546</v>
      </c>
      <c r="I4" s="233" t="s">
        <v>547</v>
      </c>
      <c r="J4" s="228" t="s">
        <v>548</v>
      </c>
      <c r="K4" s="234" t="s">
        <v>549</v>
      </c>
      <c r="L4" s="235" t="s">
        <v>550</v>
      </c>
      <c r="M4" s="236" t="s">
        <v>551</v>
      </c>
      <c r="N4" s="237" t="s">
        <v>552</v>
      </c>
      <c r="O4" s="237" t="s">
        <v>553</v>
      </c>
      <c r="P4" s="238" t="s">
        <v>279</v>
      </c>
      <c r="Q4" s="238" t="s">
        <v>554</v>
      </c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</row>
    <row r="5" s="212" customFormat="1" spans="1:31">
      <c r="A5" s="228"/>
      <c r="B5" s="228"/>
      <c r="C5" s="229"/>
      <c r="D5" s="239"/>
      <c r="E5" s="240"/>
      <c r="F5" s="228"/>
      <c r="G5" s="241"/>
      <c r="H5" s="241"/>
      <c r="I5" s="241"/>
      <c r="J5" s="228"/>
      <c r="K5" s="234"/>
      <c r="L5" s="235"/>
      <c r="M5" s="242"/>
      <c r="N5" s="237"/>
      <c r="O5" s="237"/>
      <c r="P5" s="243"/>
      <c r="Q5" s="243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</row>
    <row r="6" s="212" customFormat="1" ht="15.75" spans="1:31">
      <c r="A6" s="228"/>
      <c r="B6" s="228"/>
      <c r="C6" s="229"/>
      <c r="D6" s="244"/>
      <c r="E6" s="245"/>
      <c r="F6" s="246"/>
      <c r="G6" s="241"/>
      <c r="H6" s="241"/>
      <c r="I6" s="241"/>
      <c r="J6" s="228"/>
      <c r="K6" s="234"/>
      <c r="L6" s="235"/>
      <c r="M6" s="242"/>
      <c r="N6" s="237"/>
      <c r="O6" s="237"/>
      <c r="P6" s="247"/>
      <c r="Q6" s="24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</row>
    <row r="7" s="213" customFormat="1" ht="69" customHeight="1" spans="1:31">
      <c r="A7" s="248">
        <f t="shared" ref="A7:A71" si="0">+ROW()-6</f>
        <v>1</v>
      </c>
      <c r="B7" s="248" t="s">
        <v>555</v>
      </c>
      <c r="C7" s="249" t="s">
        <v>8</v>
      </c>
      <c r="D7" s="250" t="s">
        <v>9</v>
      </c>
      <c r="E7" s="251" t="s">
        <v>10</v>
      </c>
      <c r="F7" s="251" t="s">
        <v>556</v>
      </c>
      <c r="G7" s="252" t="s">
        <v>546</v>
      </c>
      <c r="H7" s="248" t="s">
        <v>546</v>
      </c>
      <c r="I7" s="253" t="s">
        <v>557</v>
      </c>
      <c r="J7" s="52">
        <v>46308</v>
      </c>
      <c r="K7" s="254" t="s">
        <v>558</v>
      </c>
      <c r="L7" s="255" t="s">
        <v>559</v>
      </c>
      <c r="M7" s="256" t="s">
        <v>11</v>
      </c>
      <c r="N7" s="257" t="s">
        <v>560</v>
      </c>
      <c r="O7" s="258"/>
      <c r="P7" s="259" t="s">
        <v>561</v>
      </c>
      <c r="Q7" s="259" t="s">
        <v>562</v>
      </c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0"/>
    </row>
    <row r="8" s="213" customFormat="1" ht="93.75" customHeight="1" spans="1:31">
      <c r="A8" s="248">
        <f t="shared" si="0"/>
        <v>2</v>
      </c>
      <c r="B8" s="248" t="s">
        <v>555</v>
      </c>
      <c r="C8" s="249"/>
      <c r="D8" s="261" t="s">
        <v>9</v>
      </c>
      <c r="E8" s="262" t="s">
        <v>16</v>
      </c>
      <c r="F8" s="262" t="s">
        <v>563</v>
      </c>
      <c r="G8" s="248" t="s">
        <v>546</v>
      </c>
      <c r="H8" s="248"/>
      <c r="I8" s="248" t="s">
        <v>564</v>
      </c>
      <c r="J8" s="52">
        <v>46308</v>
      </c>
      <c r="K8" s="254" t="s">
        <v>565</v>
      </c>
      <c r="L8" s="255"/>
      <c r="M8" s="256" t="s">
        <v>566</v>
      </c>
      <c r="N8" s="257" t="s">
        <v>567</v>
      </c>
      <c r="O8" s="257" t="s">
        <v>568</v>
      </c>
      <c r="P8" s="263"/>
      <c r="Q8" s="263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</row>
    <row r="9" s="213" customFormat="1" ht="45" customHeight="1" spans="1:31">
      <c r="A9" s="248">
        <f t="shared" si="0"/>
        <v>3</v>
      </c>
      <c r="B9" s="248" t="s">
        <v>555</v>
      </c>
      <c r="C9" s="249"/>
      <c r="D9" s="261" t="s">
        <v>9</v>
      </c>
      <c r="E9" s="262" t="s">
        <v>569</v>
      </c>
      <c r="F9" s="262" t="s">
        <v>570</v>
      </c>
      <c r="G9" s="248" t="s">
        <v>546</v>
      </c>
      <c r="H9" s="248" t="s">
        <v>546</v>
      </c>
      <c r="I9" s="248" t="s">
        <v>564</v>
      </c>
      <c r="J9" s="52">
        <v>46308</v>
      </c>
      <c r="K9" s="254" t="s">
        <v>571</v>
      </c>
      <c r="L9" s="255"/>
      <c r="M9" s="256" t="s">
        <v>572</v>
      </c>
      <c r="N9" s="264" t="s">
        <v>573</v>
      </c>
      <c r="O9" s="264" t="s">
        <v>574</v>
      </c>
      <c r="P9" s="263"/>
      <c r="Q9" s="263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</row>
    <row r="10" s="213" customFormat="1" ht="39" customHeight="1" spans="1:31">
      <c r="A10" s="248">
        <f t="shared" si="0"/>
        <v>4</v>
      </c>
      <c r="B10" s="248" t="s">
        <v>555</v>
      </c>
      <c r="C10" s="249"/>
      <c r="D10" s="261" t="s">
        <v>9</v>
      </c>
      <c r="E10" s="262" t="s">
        <v>575</v>
      </c>
      <c r="F10" s="262" t="s">
        <v>576</v>
      </c>
      <c r="G10" s="248" t="s">
        <v>546</v>
      </c>
      <c r="H10" s="248" t="s">
        <v>546</v>
      </c>
      <c r="I10" s="248" t="s">
        <v>564</v>
      </c>
      <c r="J10" s="52">
        <v>46308</v>
      </c>
      <c r="K10" s="254" t="s">
        <v>571</v>
      </c>
      <c r="L10" s="255"/>
      <c r="M10" s="256"/>
      <c r="N10" s="264" t="s">
        <v>577</v>
      </c>
      <c r="O10" s="264" t="s">
        <v>574</v>
      </c>
      <c r="P10" s="263"/>
      <c r="Q10" s="263"/>
      <c r="R10" s="260"/>
      <c r="S10" s="260"/>
      <c r="T10" s="260"/>
      <c r="U10" s="260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</row>
    <row r="11" s="213" customFormat="1" ht="23.25" customHeight="1" spans="1:31">
      <c r="A11" s="248">
        <f t="shared" si="0"/>
        <v>5</v>
      </c>
      <c r="B11" s="248" t="s">
        <v>555</v>
      </c>
      <c r="C11" s="249"/>
      <c r="D11" s="261" t="s">
        <v>9</v>
      </c>
      <c r="E11" s="262" t="s">
        <v>578</v>
      </c>
      <c r="F11" s="262" t="s">
        <v>579</v>
      </c>
      <c r="G11" s="253"/>
      <c r="H11" s="248"/>
      <c r="I11" s="248" t="s">
        <v>564</v>
      </c>
      <c r="J11" s="255"/>
      <c r="K11" s="254" t="s">
        <v>571</v>
      </c>
      <c r="L11" s="255"/>
      <c r="M11" s="265" t="s">
        <v>17</v>
      </c>
      <c r="N11" s="264" t="s">
        <v>580</v>
      </c>
      <c r="O11" s="258"/>
      <c r="P11" s="263"/>
      <c r="Q11" s="263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</row>
    <row r="12" s="213" customFormat="1" ht="23.25" customHeight="1" spans="1:31">
      <c r="A12" s="248">
        <f t="shared" si="0"/>
        <v>6</v>
      </c>
      <c r="B12" s="248" t="s">
        <v>555</v>
      </c>
      <c r="C12" s="249"/>
      <c r="D12" s="261" t="s">
        <v>9</v>
      </c>
      <c r="E12" s="262" t="s">
        <v>32</v>
      </c>
      <c r="F12" s="262" t="s">
        <v>581</v>
      </c>
      <c r="G12" s="248" t="s">
        <v>546</v>
      </c>
      <c r="H12" s="248" t="s">
        <v>546</v>
      </c>
      <c r="I12" s="253" t="s">
        <v>557</v>
      </c>
      <c r="J12" s="52">
        <v>46309</v>
      </c>
      <c r="K12" s="254" t="s">
        <v>582</v>
      </c>
      <c r="L12" s="255"/>
      <c r="M12" s="265" t="s">
        <v>33</v>
      </c>
      <c r="N12" s="264" t="s">
        <v>583</v>
      </c>
      <c r="O12" s="258"/>
      <c r="P12" s="263"/>
      <c r="Q12" s="263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</row>
    <row r="13" s="213" customFormat="1" ht="55.5" customHeight="1" spans="1:31">
      <c r="A13" s="248">
        <f t="shared" si="0"/>
        <v>7</v>
      </c>
      <c r="B13" s="248" t="s">
        <v>555</v>
      </c>
      <c r="C13" s="249"/>
      <c r="D13" s="261" t="s">
        <v>9</v>
      </c>
      <c r="E13" s="262" t="s">
        <v>584</v>
      </c>
      <c r="F13" s="262" t="s">
        <v>585</v>
      </c>
      <c r="G13" s="248" t="s">
        <v>546</v>
      </c>
      <c r="H13" s="248" t="s">
        <v>546</v>
      </c>
      <c r="I13" s="248" t="s">
        <v>564</v>
      </c>
      <c r="J13" s="52">
        <v>46309</v>
      </c>
      <c r="K13" s="254" t="s">
        <v>586</v>
      </c>
      <c r="L13" s="255" t="s">
        <v>587</v>
      </c>
      <c r="M13" s="265" t="s">
        <v>588</v>
      </c>
      <c r="N13" s="264" t="s">
        <v>573</v>
      </c>
      <c r="O13" s="264" t="s">
        <v>589</v>
      </c>
      <c r="P13" s="263"/>
      <c r="Q13" s="263"/>
      <c r="R13" s="260"/>
      <c r="S13" s="260"/>
      <c r="T13" s="260"/>
      <c r="U13" s="260"/>
      <c r="V13" s="260"/>
      <c r="W13" s="260"/>
      <c r="X13" s="260"/>
      <c r="Y13" s="260"/>
      <c r="Z13" s="260"/>
      <c r="AA13" s="260"/>
      <c r="AB13" s="260"/>
      <c r="AC13" s="260"/>
      <c r="AD13" s="260"/>
      <c r="AE13" s="260"/>
    </row>
    <row r="14" s="213" customFormat="1" ht="51.75" customHeight="1" spans="1:31">
      <c r="A14" s="248">
        <f t="shared" si="0"/>
        <v>8</v>
      </c>
      <c r="B14" s="248" t="s">
        <v>555</v>
      </c>
      <c r="C14" s="249"/>
      <c r="D14" s="261" t="s">
        <v>9</v>
      </c>
      <c r="E14" s="262" t="s">
        <v>590</v>
      </c>
      <c r="F14" s="262" t="s">
        <v>591</v>
      </c>
      <c r="G14" s="248" t="s">
        <v>546</v>
      </c>
      <c r="H14" s="248" t="s">
        <v>546</v>
      </c>
      <c r="I14" s="248" t="s">
        <v>564</v>
      </c>
      <c r="J14" s="52">
        <v>46309</v>
      </c>
      <c r="K14" s="254" t="s">
        <v>586</v>
      </c>
      <c r="L14" s="255"/>
      <c r="M14" s="265"/>
      <c r="N14" s="264" t="s">
        <v>573</v>
      </c>
      <c r="O14" s="264" t="s">
        <v>589</v>
      </c>
      <c r="P14" s="263"/>
      <c r="Q14" s="263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</row>
    <row r="15" s="213" customFormat="1" ht="65.25" customHeight="1" spans="1:31">
      <c r="A15" s="248">
        <f t="shared" si="0"/>
        <v>9</v>
      </c>
      <c r="B15" s="248" t="s">
        <v>555</v>
      </c>
      <c r="C15" s="249"/>
      <c r="D15" s="261" t="s">
        <v>9</v>
      </c>
      <c r="E15" s="262" t="s">
        <v>46</v>
      </c>
      <c r="F15" s="262" t="s">
        <v>592</v>
      </c>
      <c r="G15" s="248" t="s">
        <v>546</v>
      </c>
      <c r="H15" s="248"/>
      <c r="I15" s="248" t="s">
        <v>564</v>
      </c>
      <c r="J15" s="52">
        <v>46309</v>
      </c>
      <c r="K15" s="254" t="s">
        <v>586</v>
      </c>
      <c r="L15" s="255"/>
      <c r="M15" s="265"/>
      <c r="N15" s="264" t="s">
        <v>593</v>
      </c>
      <c r="O15" s="264" t="s">
        <v>594</v>
      </c>
      <c r="P15" s="263"/>
      <c r="Q15" s="263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</row>
    <row r="16" s="213" customFormat="1" ht="23.25" customHeight="1" spans="1:31">
      <c r="A16" s="248">
        <f t="shared" si="0"/>
        <v>10</v>
      </c>
      <c r="B16" s="248" t="s">
        <v>555</v>
      </c>
      <c r="C16" s="249"/>
      <c r="D16" s="261" t="s">
        <v>9</v>
      </c>
      <c r="E16" s="262" t="s">
        <v>595</v>
      </c>
      <c r="F16" s="262" t="s">
        <v>596</v>
      </c>
      <c r="G16" s="253"/>
      <c r="H16" s="248"/>
      <c r="I16" s="248" t="s">
        <v>564</v>
      </c>
      <c r="J16" s="248"/>
      <c r="K16" s="254" t="s">
        <v>586</v>
      </c>
      <c r="L16" s="255"/>
      <c r="M16" s="265" t="s">
        <v>38</v>
      </c>
      <c r="N16" s="264"/>
      <c r="O16" s="258"/>
      <c r="P16" s="263"/>
      <c r="Q16" s="263"/>
      <c r="R16" s="260"/>
      <c r="S16" s="260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  <c r="AE16" s="260"/>
    </row>
    <row r="17" s="213" customFormat="1" ht="23.25" customHeight="1" spans="1:31">
      <c r="A17" s="248">
        <f t="shared" si="0"/>
        <v>11</v>
      </c>
      <c r="B17" s="248" t="s">
        <v>555</v>
      </c>
      <c r="C17" s="249"/>
      <c r="D17" s="261" t="s">
        <v>9</v>
      </c>
      <c r="E17" s="262" t="s">
        <v>597</v>
      </c>
      <c r="F17" s="262" t="s">
        <v>598</v>
      </c>
      <c r="G17" s="248" t="s">
        <v>546</v>
      </c>
      <c r="H17" s="248"/>
      <c r="I17" s="248" t="s">
        <v>564</v>
      </c>
      <c r="J17" s="52">
        <v>46309</v>
      </c>
      <c r="K17" s="254" t="s">
        <v>586</v>
      </c>
      <c r="L17" s="255"/>
      <c r="M17" s="265" t="s">
        <v>54</v>
      </c>
      <c r="N17" s="264" t="s">
        <v>599</v>
      </c>
      <c r="O17" s="258"/>
      <c r="P17" s="263"/>
      <c r="Q17" s="263"/>
      <c r="R17" s="260"/>
      <c r="S17" s="260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</row>
    <row r="18" s="213" customFormat="1" ht="23.25" customHeight="1" spans="1:31">
      <c r="A18" s="248">
        <f t="shared" si="0"/>
        <v>12</v>
      </c>
      <c r="B18" s="248" t="s">
        <v>555</v>
      </c>
      <c r="C18" s="249"/>
      <c r="D18" s="261" t="s">
        <v>9</v>
      </c>
      <c r="E18" s="262" t="s">
        <v>600</v>
      </c>
      <c r="F18" s="262" t="s">
        <v>601</v>
      </c>
      <c r="G18" s="248" t="s">
        <v>546</v>
      </c>
      <c r="H18" s="248"/>
      <c r="I18" s="248" t="s">
        <v>564</v>
      </c>
      <c r="J18" s="52">
        <v>46309</v>
      </c>
      <c r="K18" s="254" t="s">
        <v>586</v>
      </c>
      <c r="L18" s="255"/>
      <c r="M18" s="265"/>
      <c r="N18" s="264"/>
      <c r="O18" s="258"/>
      <c r="P18" s="263"/>
      <c r="Q18" s="263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</row>
    <row r="19" s="213" customFormat="1" ht="23.25" customHeight="1" spans="1:31">
      <c r="A19" s="248">
        <f t="shared" si="0"/>
        <v>13</v>
      </c>
      <c r="B19" s="248" t="s">
        <v>555</v>
      </c>
      <c r="C19" s="249"/>
      <c r="D19" s="266" t="s">
        <v>9</v>
      </c>
      <c r="E19" s="267" t="s">
        <v>62</v>
      </c>
      <c r="F19" s="267" t="s">
        <v>602</v>
      </c>
      <c r="G19" s="268" t="s">
        <v>546</v>
      </c>
      <c r="H19" s="248" t="s">
        <v>546</v>
      </c>
      <c r="I19" s="253" t="s">
        <v>557</v>
      </c>
      <c r="J19" s="52">
        <v>46309</v>
      </c>
      <c r="K19" s="254" t="s">
        <v>603</v>
      </c>
      <c r="L19" s="255"/>
      <c r="M19" s="269"/>
      <c r="N19" s="264"/>
      <c r="O19" s="258"/>
      <c r="P19" s="270"/>
      <c r="Q19" s="270"/>
      <c r="R19" s="260"/>
      <c r="S19" s="260"/>
      <c r="T19" s="260"/>
      <c r="U19" s="260"/>
      <c r="V19" s="260"/>
      <c r="W19" s="260"/>
      <c r="X19" s="260"/>
      <c r="Y19" s="260"/>
      <c r="Z19" s="260"/>
      <c r="AA19" s="260"/>
      <c r="AB19" s="260"/>
      <c r="AC19" s="260"/>
      <c r="AD19" s="260"/>
      <c r="AE19" s="260"/>
    </row>
    <row r="20" s="213" customFormat="1" ht="23.25" customHeight="1" spans="1:31">
      <c r="A20" s="248">
        <f t="shared" si="0"/>
        <v>14</v>
      </c>
      <c r="B20" s="248" t="s">
        <v>555</v>
      </c>
      <c r="C20" s="248"/>
      <c r="D20" s="271"/>
      <c r="E20" s="272"/>
      <c r="F20" s="272" t="s">
        <v>604</v>
      </c>
      <c r="G20" s="271"/>
      <c r="H20" s="273" t="s">
        <v>546</v>
      </c>
      <c r="I20" s="273" t="s">
        <v>557</v>
      </c>
      <c r="J20" s="52">
        <v>46309</v>
      </c>
      <c r="K20" s="254"/>
      <c r="L20" s="255"/>
      <c r="M20" s="274" t="s">
        <v>66</v>
      </c>
      <c r="N20" s="264"/>
      <c r="O20" s="258"/>
      <c r="P20" s="275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</row>
    <row r="21" s="213" customFormat="1" ht="52.5" customHeight="1" spans="1:31">
      <c r="A21" s="248">
        <f t="shared" si="0"/>
        <v>15</v>
      </c>
      <c r="B21" s="248" t="s">
        <v>555</v>
      </c>
      <c r="C21" s="249"/>
      <c r="D21" s="250" t="s">
        <v>9</v>
      </c>
      <c r="E21" s="276" t="s">
        <v>67</v>
      </c>
      <c r="F21" s="251" t="s">
        <v>605</v>
      </c>
      <c r="G21" s="252" t="s">
        <v>546</v>
      </c>
      <c r="H21" s="277" t="s">
        <v>546</v>
      </c>
      <c r="I21" s="278" t="s">
        <v>557</v>
      </c>
      <c r="J21" s="52">
        <v>46309</v>
      </c>
      <c r="K21" s="279" t="s">
        <v>606</v>
      </c>
      <c r="L21" s="280" t="s">
        <v>607</v>
      </c>
      <c r="M21" s="281" t="s">
        <v>11</v>
      </c>
      <c r="N21" s="264" t="s">
        <v>608</v>
      </c>
      <c r="O21" s="258"/>
      <c r="P21" s="259" t="s">
        <v>609</v>
      </c>
      <c r="Q21" s="282" t="s">
        <v>610</v>
      </c>
      <c r="R21" s="260"/>
      <c r="S21" s="260"/>
      <c r="T21" s="26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</row>
    <row r="22" s="213" customFormat="1" ht="63" customHeight="1" spans="1:31">
      <c r="A22" s="248">
        <f t="shared" si="0"/>
        <v>16</v>
      </c>
      <c r="B22" s="248" t="s">
        <v>555</v>
      </c>
      <c r="C22" s="249"/>
      <c r="D22" s="261" t="s">
        <v>9</v>
      </c>
      <c r="E22" s="283" t="s">
        <v>72</v>
      </c>
      <c r="F22" s="262" t="s">
        <v>611</v>
      </c>
      <c r="G22" s="248" t="s">
        <v>546</v>
      </c>
      <c r="H22" s="273"/>
      <c r="I22" s="273" t="s">
        <v>564</v>
      </c>
      <c r="J22" s="52">
        <v>46309</v>
      </c>
      <c r="K22" s="254" t="s">
        <v>612</v>
      </c>
      <c r="L22" s="284"/>
      <c r="M22" s="265" t="s">
        <v>73</v>
      </c>
      <c r="N22" s="264" t="s">
        <v>613</v>
      </c>
      <c r="O22" s="264" t="s">
        <v>614</v>
      </c>
      <c r="P22" s="285"/>
      <c r="Q22" s="286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</row>
    <row r="23" s="213" customFormat="1" ht="50.25" customHeight="1" spans="1:31">
      <c r="A23" s="248">
        <f t="shared" si="0"/>
        <v>17</v>
      </c>
      <c r="B23" s="248" t="s">
        <v>555</v>
      </c>
      <c r="C23" s="249"/>
      <c r="D23" s="261" t="s">
        <v>9</v>
      </c>
      <c r="E23" s="287" t="s">
        <v>77</v>
      </c>
      <c r="F23" s="262" t="s">
        <v>615</v>
      </c>
      <c r="G23" s="248" t="s">
        <v>546</v>
      </c>
      <c r="H23" s="273" t="s">
        <v>546</v>
      </c>
      <c r="I23" s="288" t="s">
        <v>557</v>
      </c>
      <c r="J23" s="52">
        <v>46309</v>
      </c>
      <c r="K23" s="254" t="s">
        <v>612</v>
      </c>
      <c r="L23" s="284"/>
      <c r="M23" s="265"/>
      <c r="N23" s="264" t="s">
        <v>616</v>
      </c>
      <c r="O23" s="264" t="s">
        <v>617</v>
      </c>
      <c r="P23" s="285"/>
      <c r="Q23" s="286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</row>
    <row r="24" s="213" customFormat="1" ht="23.25" customHeight="1" spans="1:31">
      <c r="A24" s="248">
        <f t="shared" si="0"/>
        <v>18</v>
      </c>
      <c r="B24" s="248" t="s">
        <v>555</v>
      </c>
      <c r="C24" s="249"/>
      <c r="D24" s="261" t="s">
        <v>9</v>
      </c>
      <c r="E24" s="287" t="s">
        <v>81</v>
      </c>
      <c r="F24" s="262" t="s">
        <v>618</v>
      </c>
      <c r="G24" s="248" t="s">
        <v>546</v>
      </c>
      <c r="H24" s="273"/>
      <c r="I24" s="273" t="s">
        <v>564</v>
      </c>
      <c r="J24" s="52">
        <v>46309</v>
      </c>
      <c r="K24" s="254" t="s">
        <v>612</v>
      </c>
      <c r="L24" s="284"/>
      <c r="M24" s="265"/>
      <c r="N24" s="264" t="s">
        <v>619</v>
      </c>
      <c r="O24" s="258"/>
      <c r="P24" s="285"/>
      <c r="Q24" s="286"/>
      <c r="R24" s="260"/>
      <c r="S24" s="260"/>
      <c r="T24" s="260"/>
      <c r="U24" s="260"/>
      <c r="V24" s="260"/>
      <c r="W24" s="260"/>
      <c r="X24" s="260"/>
      <c r="Y24" s="260"/>
      <c r="Z24" s="260"/>
      <c r="AA24" s="260"/>
      <c r="AB24" s="260"/>
      <c r="AC24" s="260"/>
      <c r="AD24" s="260"/>
      <c r="AE24" s="260"/>
    </row>
    <row r="25" s="213" customFormat="1" ht="23.25" customHeight="1" spans="1:31">
      <c r="A25" s="248">
        <f t="shared" si="0"/>
        <v>19</v>
      </c>
      <c r="B25" s="248" t="s">
        <v>555</v>
      </c>
      <c r="C25" s="249"/>
      <c r="D25" s="261" t="s">
        <v>9</v>
      </c>
      <c r="E25" s="287" t="s">
        <v>85</v>
      </c>
      <c r="F25" s="262" t="s">
        <v>620</v>
      </c>
      <c r="G25" s="248" t="s">
        <v>546</v>
      </c>
      <c r="H25" s="273"/>
      <c r="I25" s="273" t="s">
        <v>564</v>
      </c>
      <c r="J25" s="52">
        <v>46309</v>
      </c>
      <c r="K25" s="254" t="s">
        <v>612</v>
      </c>
      <c r="L25" s="284"/>
      <c r="M25" s="265"/>
      <c r="N25" s="264" t="s">
        <v>621</v>
      </c>
      <c r="O25" s="258"/>
      <c r="P25" s="285"/>
      <c r="Q25" s="286"/>
      <c r="R25" s="260"/>
      <c r="S25" s="260"/>
      <c r="T25" s="260"/>
      <c r="U25" s="260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</row>
    <row r="26" s="213" customFormat="1" ht="23.25" customHeight="1" spans="1:31">
      <c r="A26" s="248">
        <f t="shared" si="0"/>
        <v>20</v>
      </c>
      <c r="B26" s="248" t="s">
        <v>555</v>
      </c>
      <c r="C26" s="249"/>
      <c r="D26" s="261" t="s">
        <v>9</v>
      </c>
      <c r="E26" s="287" t="s">
        <v>89</v>
      </c>
      <c r="F26" s="262" t="s">
        <v>622</v>
      </c>
      <c r="G26" s="248" t="s">
        <v>623</v>
      </c>
      <c r="H26" s="273"/>
      <c r="I26" s="273" t="s">
        <v>564</v>
      </c>
      <c r="J26" s="248"/>
      <c r="K26" s="254" t="s">
        <v>612</v>
      </c>
      <c r="L26" s="284"/>
      <c r="M26" s="265"/>
      <c r="N26" s="264"/>
      <c r="O26" s="258"/>
      <c r="P26" s="285"/>
      <c r="Q26" s="286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  <c r="AD26" s="260"/>
      <c r="AE26" s="260"/>
    </row>
    <row r="27" s="213" customFormat="1" ht="42.75" customHeight="1" spans="1:31">
      <c r="A27" s="248">
        <f t="shared" si="0"/>
        <v>21</v>
      </c>
      <c r="B27" s="248" t="s">
        <v>555</v>
      </c>
      <c r="C27" s="249"/>
      <c r="D27" s="261" t="s">
        <v>9</v>
      </c>
      <c r="E27" s="287" t="s">
        <v>92</v>
      </c>
      <c r="F27" s="262" t="s">
        <v>624</v>
      </c>
      <c r="G27" s="248" t="s">
        <v>546</v>
      </c>
      <c r="H27" s="273"/>
      <c r="I27" s="273" t="s">
        <v>564</v>
      </c>
      <c r="J27" s="248"/>
      <c r="K27" s="254" t="s">
        <v>612</v>
      </c>
      <c r="L27" s="284"/>
      <c r="M27" s="265"/>
      <c r="N27" s="264" t="s">
        <v>625</v>
      </c>
      <c r="O27" s="264" t="s">
        <v>626</v>
      </c>
      <c r="P27" s="285"/>
      <c r="Q27" s="286"/>
      <c r="R27" s="260"/>
      <c r="S27" s="260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  <c r="AD27" s="260"/>
      <c r="AE27" s="260"/>
    </row>
    <row r="28" s="213" customFormat="1" ht="23.25" customHeight="1" spans="1:31">
      <c r="A28" s="248">
        <f t="shared" si="0"/>
        <v>22</v>
      </c>
      <c r="B28" s="248" t="s">
        <v>555</v>
      </c>
      <c r="C28" s="249"/>
      <c r="D28" s="261" t="s">
        <v>96</v>
      </c>
      <c r="E28" s="289" t="s">
        <v>627</v>
      </c>
      <c r="F28" s="262" t="s">
        <v>628</v>
      </c>
      <c r="G28" s="248" t="s">
        <v>623</v>
      </c>
      <c r="H28" s="273"/>
      <c r="I28" s="273" t="s">
        <v>564</v>
      </c>
      <c r="J28" s="248"/>
      <c r="K28" s="290" t="s">
        <v>629</v>
      </c>
      <c r="L28" s="291"/>
      <c r="M28" s="265" t="s">
        <v>630</v>
      </c>
      <c r="N28" s="264"/>
      <c r="O28" s="258"/>
      <c r="P28" s="285"/>
      <c r="Q28" s="286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</row>
    <row r="29" ht="45.75" customHeight="1" spans="1:31">
      <c r="A29" s="248">
        <f t="shared" si="0"/>
        <v>23</v>
      </c>
      <c r="B29" s="248" t="s">
        <v>555</v>
      </c>
      <c r="C29" s="249"/>
      <c r="D29" s="261" t="s">
        <v>9</v>
      </c>
      <c r="E29" s="287" t="s">
        <v>100</v>
      </c>
      <c r="F29" s="262" t="s">
        <v>631</v>
      </c>
      <c r="G29" s="248" t="s">
        <v>546</v>
      </c>
      <c r="H29" s="273" t="s">
        <v>546</v>
      </c>
      <c r="I29" s="288" t="s">
        <v>557</v>
      </c>
      <c r="J29" s="255"/>
      <c r="K29" s="254" t="s">
        <v>632</v>
      </c>
      <c r="L29" s="280" t="s">
        <v>633</v>
      </c>
      <c r="M29" s="265" t="s">
        <v>33</v>
      </c>
      <c r="N29" s="264" t="s">
        <v>634</v>
      </c>
      <c r="O29" s="258"/>
      <c r="P29" s="285"/>
      <c r="Q29" s="286"/>
    </row>
    <row r="30" s="213" customFormat="1" ht="85.5" customHeight="1" spans="1:31">
      <c r="A30" s="248">
        <f t="shared" si="0"/>
        <v>24</v>
      </c>
      <c r="B30" s="248" t="s">
        <v>555</v>
      </c>
      <c r="C30" s="249"/>
      <c r="D30" s="261" t="s">
        <v>9</v>
      </c>
      <c r="E30" s="287" t="s">
        <v>104</v>
      </c>
      <c r="F30" s="262" t="s">
        <v>635</v>
      </c>
      <c r="G30" s="248" t="s">
        <v>546</v>
      </c>
      <c r="H30" s="273"/>
      <c r="I30" s="273" t="s">
        <v>564</v>
      </c>
      <c r="J30" s="255"/>
      <c r="K30" s="254" t="s">
        <v>636</v>
      </c>
      <c r="L30" s="284"/>
      <c r="M30" s="265" t="s">
        <v>105</v>
      </c>
      <c r="N30" s="264" t="s">
        <v>637</v>
      </c>
      <c r="O30" s="264" t="s">
        <v>638</v>
      </c>
      <c r="P30" s="285"/>
      <c r="Q30" s="286"/>
      <c r="R30" s="260"/>
      <c r="S30" s="260"/>
      <c r="T30" s="260"/>
      <c r="U30" s="260"/>
      <c r="V30" s="260"/>
      <c r="W30" s="260"/>
      <c r="X30" s="260"/>
      <c r="Y30" s="260"/>
      <c r="Z30" s="260"/>
      <c r="AA30" s="260"/>
      <c r="AB30" s="260"/>
      <c r="AC30" s="260"/>
      <c r="AD30" s="260"/>
      <c r="AE30" s="260"/>
    </row>
    <row r="31" s="213" customFormat="1" ht="45" customHeight="1" spans="1:31">
      <c r="A31" s="248">
        <f t="shared" si="0"/>
        <v>25</v>
      </c>
      <c r="B31" s="248" t="s">
        <v>555</v>
      </c>
      <c r="C31" s="249"/>
      <c r="D31" s="261" t="s">
        <v>9</v>
      </c>
      <c r="E31" s="287" t="s">
        <v>109</v>
      </c>
      <c r="F31" s="262" t="s">
        <v>639</v>
      </c>
      <c r="G31" s="248" t="s">
        <v>546</v>
      </c>
      <c r="H31" s="273" t="s">
        <v>546</v>
      </c>
      <c r="I31" s="273" t="s">
        <v>557</v>
      </c>
      <c r="J31" s="255"/>
      <c r="K31" s="254" t="s">
        <v>636</v>
      </c>
      <c r="L31" s="284"/>
      <c r="M31" s="265"/>
      <c r="N31" s="264" t="s">
        <v>640</v>
      </c>
      <c r="O31" s="264" t="s">
        <v>641</v>
      </c>
      <c r="P31" s="285"/>
      <c r="Q31" s="286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</row>
    <row r="32" s="213" customFormat="1" ht="23.25" customHeight="1" spans="1:31">
      <c r="A32" s="248">
        <f t="shared" si="0"/>
        <v>26</v>
      </c>
      <c r="B32" s="248" t="s">
        <v>555</v>
      </c>
      <c r="C32" s="249"/>
      <c r="D32" s="261" t="s">
        <v>9</v>
      </c>
      <c r="E32" s="292" t="s">
        <v>113</v>
      </c>
      <c r="F32" s="262" t="s">
        <v>642</v>
      </c>
      <c r="G32" s="248" t="s">
        <v>546</v>
      </c>
      <c r="H32" s="273"/>
      <c r="I32" s="273" t="s">
        <v>564</v>
      </c>
      <c r="J32" s="255"/>
      <c r="K32" s="254" t="s">
        <v>636</v>
      </c>
      <c r="L32" s="284"/>
      <c r="M32" s="265"/>
      <c r="N32" s="264" t="s">
        <v>643</v>
      </c>
      <c r="O32" s="258"/>
      <c r="P32" s="285"/>
      <c r="Q32" s="286"/>
      <c r="R32" s="260"/>
      <c r="S32" s="260"/>
      <c r="T32" s="260"/>
      <c r="U32" s="260"/>
      <c r="V32" s="260"/>
      <c r="W32" s="260"/>
      <c r="X32" s="260"/>
      <c r="Y32" s="260"/>
      <c r="Z32" s="260"/>
      <c r="AA32" s="260"/>
      <c r="AB32" s="260"/>
      <c r="AC32" s="260"/>
      <c r="AD32" s="260"/>
      <c r="AE32" s="260"/>
    </row>
    <row r="33" s="213" customFormat="1" ht="23.25" customHeight="1" spans="1:31">
      <c r="A33" s="248">
        <f t="shared" si="0"/>
        <v>27</v>
      </c>
      <c r="B33" s="248" t="s">
        <v>555</v>
      </c>
      <c r="C33" s="249"/>
      <c r="D33" s="261" t="s">
        <v>9</v>
      </c>
      <c r="E33" s="292" t="s">
        <v>117</v>
      </c>
      <c r="F33" s="262" t="s">
        <v>644</v>
      </c>
      <c r="G33" s="248" t="s">
        <v>546</v>
      </c>
      <c r="H33" s="273"/>
      <c r="I33" s="273" t="s">
        <v>564</v>
      </c>
      <c r="J33" s="255"/>
      <c r="K33" s="254" t="s">
        <v>636</v>
      </c>
      <c r="L33" s="284"/>
      <c r="M33" s="265"/>
      <c r="N33" s="264" t="s">
        <v>643</v>
      </c>
      <c r="O33" s="258"/>
      <c r="P33" s="285"/>
      <c r="Q33" s="286"/>
      <c r="R33" s="260"/>
      <c r="S33" s="260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</row>
    <row r="34" s="213" customFormat="1" ht="36" customHeight="1" spans="1:31">
      <c r="A34" s="248">
        <f t="shared" si="0"/>
        <v>28</v>
      </c>
      <c r="B34" s="248" t="s">
        <v>555</v>
      </c>
      <c r="C34" s="249"/>
      <c r="D34" s="261" t="s">
        <v>9</v>
      </c>
      <c r="E34" s="292" t="s">
        <v>121</v>
      </c>
      <c r="F34" s="262" t="s">
        <v>645</v>
      </c>
      <c r="G34" s="248" t="s">
        <v>546</v>
      </c>
      <c r="H34" s="273"/>
      <c r="I34" s="273" t="s">
        <v>564</v>
      </c>
      <c r="J34" s="255"/>
      <c r="K34" s="254" t="s">
        <v>636</v>
      </c>
      <c r="L34" s="284"/>
      <c r="M34" s="265"/>
      <c r="N34" s="264" t="s">
        <v>646</v>
      </c>
      <c r="O34" s="264" t="s">
        <v>647</v>
      </c>
      <c r="P34" s="285"/>
      <c r="Q34" s="286"/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</row>
    <row r="35" s="213" customFormat="1" ht="62.25" customHeight="1" spans="1:31">
      <c r="A35" s="248">
        <f t="shared" si="0"/>
        <v>29</v>
      </c>
      <c r="B35" s="248" t="s">
        <v>555</v>
      </c>
      <c r="C35" s="249"/>
      <c r="D35" s="261" t="s">
        <v>9</v>
      </c>
      <c r="E35" s="292" t="s">
        <v>125</v>
      </c>
      <c r="F35" s="262" t="s">
        <v>648</v>
      </c>
      <c r="G35" s="248" t="s">
        <v>546</v>
      </c>
      <c r="H35" s="273"/>
      <c r="I35" s="273" t="s">
        <v>564</v>
      </c>
      <c r="J35" s="255"/>
      <c r="K35" s="254" t="s">
        <v>636</v>
      </c>
      <c r="L35" s="284"/>
      <c r="M35" s="265" t="s">
        <v>126</v>
      </c>
      <c r="N35" s="264" t="s">
        <v>649</v>
      </c>
      <c r="O35" s="264" t="s">
        <v>650</v>
      </c>
      <c r="P35" s="285"/>
      <c r="Q35" s="286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</row>
    <row r="36" s="213" customFormat="1" ht="61.5" customHeight="1" spans="1:31">
      <c r="A36" s="248">
        <f t="shared" si="0"/>
        <v>30</v>
      </c>
      <c r="B36" s="248" t="s">
        <v>555</v>
      </c>
      <c r="C36" s="249"/>
      <c r="D36" s="261" t="s">
        <v>9</v>
      </c>
      <c r="E36" s="292" t="s">
        <v>651</v>
      </c>
      <c r="F36" s="262" t="s">
        <v>652</v>
      </c>
      <c r="G36" s="248" t="s">
        <v>546</v>
      </c>
      <c r="H36" s="273" t="s">
        <v>546</v>
      </c>
      <c r="I36" s="273" t="s">
        <v>557</v>
      </c>
      <c r="J36" s="255"/>
      <c r="K36" s="254" t="s">
        <v>636</v>
      </c>
      <c r="L36" s="284"/>
      <c r="M36" s="265"/>
      <c r="N36" s="264" t="s">
        <v>653</v>
      </c>
      <c r="O36" s="264" t="s">
        <v>654</v>
      </c>
      <c r="P36" s="285"/>
      <c r="Q36" s="286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</row>
    <row r="37" s="213" customFormat="1" ht="51.75" customHeight="1" spans="1:31">
      <c r="A37" s="248">
        <f t="shared" si="0"/>
        <v>31</v>
      </c>
      <c r="B37" s="248" t="s">
        <v>555</v>
      </c>
      <c r="C37" s="249"/>
      <c r="D37" s="261" t="s">
        <v>9</v>
      </c>
      <c r="E37" s="292" t="s">
        <v>655</v>
      </c>
      <c r="F37" s="262" t="s">
        <v>656</v>
      </c>
      <c r="G37" s="248" t="s">
        <v>546</v>
      </c>
      <c r="H37" s="273" t="s">
        <v>546</v>
      </c>
      <c r="I37" s="273" t="s">
        <v>564</v>
      </c>
      <c r="J37" s="255"/>
      <c r="K37" s="254" t="s">
        <v>636</v>
      </c>
      <c r="L37" s="284"/>
      <c r="M37" s="265"/>
      <c r="N37" s="264" t="s">
        <v>653</v>
      </c>
      <c r="O37" s="264" t="s">
        <v>654</v>
      </c>
      <c r="P37" s="285"/>
      <c r="Q37" s="286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</row>
    <row r="38" s="213" customFormat="1" ht="45" customHeight="1" spans="1:31">
      <c r="A38" s="248">
        <f t="shared" si="0"/>
        <v>32</v>
      </c>
      <c r="B38" s="248" t="s">
        <v>555</v>
      </c>
      <c r="C38" s="249"/>
      <c r="D38" s="293" t="s">
        <v>9</v>
      </c>
      <c r="E38" s="294" t="s">
        <v>139</v>
      </c>
      <c r="F38" s="295" t="s">
        <v>657</v>
      </c>
      <c r="G38" s="296" t="s">
        <v>546</v>
      </c>
      <c r="H38" s="273" t="s">
        <v>546</v>
      </c>
      <c r="I38" s="288" t="s">
        <v>557</v>
      </c>
      <c r="J38" s="255"/>
      <c r="K38" s="254" t="s">
        <v>632</v>
      </c>
      <c r="L38" s="291"/>
      <c r="M38" s="297" t="s">
        <v>54</v>
      </c>
      <c r="N38" s="264" t="s">
        <v>643</v>
      </c>
      <c r="O38" s="258"/>
      <c r="P38" s="285"/>
      <c r="Q38" s="298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</row>
    <row r="39" ht="33.75" customHeight="1" spans="1:31">
      <c r="A39" s="248">
        <f t="shared" si="0"/>
        <v>33</v>
      </c>
      <c r="B39" s="248" t="s">
        <v>555</v>
      </c>
      <c r="C39" s="249" t="s">
        <v>143</v>
      </c>
      <c r="D39" s="250" t="s">
        <v>9</v>
      </c>
      <c r="E39" s="276" t="s">
        <v>144</v>
      </c>
      <c r="F39" s="276" t="s">
        <v>658</v>
      </c>
      <c r="G39" s="252" t="s">
        <v>546</v>
      </c>
      <c r="H39" s="277" t="s">
        <v>546</v>
      </c>
      <c r="I39" s="278" t="s">
        <v>557</v>
      </c>
      <c r="J39" s="52">
        <v>46309</v>
      </c>
      <c r="K39" s="279" t="s">
        <v>659</v>
      </c>
      <c r="L39" s="280" t="s">
        <v>660</v>
      </c>
      <c r="M39" s="281" t="s">
        <v>11</v>
      </c>
      <c r="N39" s="264" t="s">
        <v>661</v>
      </c>
      <c r="O39" s="264" t="s">
        <v>662</v>
      </c>
      <c r="P39" s="259" t="s">
        <v>663</v>
      </c>
      <c r="Q39" s="259" t="s">
        <v>664</v>
      </c>
    </row>
    <row r="40" ht="40.5" customHeight="1" spans="1:31">
      <c r="A40" s="248">
        <f t="shared" si="0"/>
        <v>34</v>
      </c>
      <c r="B40" s="248" t="s">
        <v>555</v>
      </c>
      <c r="C40" s="249"/>
      <c r="D40" s="261" t="s">
        <v>9</v>
      </c>
      <c r="E40" s="287" t="s">
        <v>149</v>
      </c>
      <c r="F40" s="287" t="s">
        <v>665</v>
      </c>
      <c r="G40" s="248" t="s">
        <v>546</v>
      </c>
      <c r="H40" s="273"/>
      <c r="I40" s="273" t="s">
        <v>564</v>
      </c>
      <c r="J40" s="52">
        <v>46309</v>
      </c>
      <c r="K40" s="254" t="s">
        <v>666</v>
      </c>
      <c r="L40" s="284"/>
      <c r="M40" s="265" t="s">
        <v>150</v>
      </c>
      <c r="N40" s="264" t="s">
        <v>667</v>
      </c>
      <c r="O40" s="264" t="s">
        <v>668</v>
      </c>
      <c r="P40" s="285"/>
      <c r="Q40" s="285"/>
    </row>
    <row r="41" ht="45.75" customHeight="1" spans="1:31">
      <c r="A41" s="248">
        <f t="shared" si="0"/>
        <v>35</v>
      </c>
      <c r="B41" s="248" t="s">
        <v>555</v>
      </c>
      <c r="C41" s="249"/>
      <c r="D41" s="261" t="s">
        <v>9</v>
      </c>
      <c r="E41" s="287" t="s">
        <v>154</v>
      </c>
      <c r="F41" s="287" t="s">
        <v>669</v>
      </c>
      <c r="G41" s="248" t="s">
        <v>546</v>
      </c>
      <c r="H41" s="273"/>
      <c r="I41" s="273" t="s">
        <v>564</v>
      </c>
      <c r="J41" s="52">
        <v>46309</v>
      </c>
      <c r="K41" s="254" t="s">
        <v>666</v>
      </c>
      <c r="L41" s="284"/>
      <c r="M41" s="265"/>
      <c r="N41" s="264" t="s">
        <v>670</v>
      </c>
      <c r="O41" s="264" t="s">
        <v>671</v>
      </c>
      <c r="P41" s="285"/>
      <c r="Q41" s="285"/>
    </row>
    <row r="42" ht="78.75" customHeight="1" spans="1:31">
      <c r="A42" s="248">
        <f t="shared" si="0"/>
        <v>36</v>
      </c>
      <c r="B42" s="248" t="s">
        <v>555</v>
      </c>
      <c r="C42" s="249"/>
      <c r="D42" s="261" t="s">
        <v>9</v>
      </c>
      <c r="E42" s="287" t="s">
        <v>158</v>
      </c>
      <c r="F42" s="287" t="s">
        <v>672</v>
      </c>
      <c r="G42" s="248" t="s">
        <v>546</v>
      </c>
      <c r="H42" s="273"/>
      <c r="I42" s="273" t="s">
        <v>564</v>
      </c>
      <c r="J42" s="52">
        <v>46309</v>
      </c>
      <c r="K42" s="254" t="s">
        <v>666</v>
      </c>
      <c r="L42" s="284"/>
      <c r="M42" s="265"/>
      <c r="N42" s="264" t="s">
        <v>673</v>
      </c>
      <c r="O42" s="264" t="s">
        <v>674</v>
      </c>
      <c r="P42" s="285"/>
      <c r="Q42" s="285"/>
    </row>
    <row r="43" ht="42" customHeight="1" spans="1:31">
      <c r="A43" s="248">
        <f t="shared" si="0"/>
        <v>37</v>
      </c>
      <c r="B43" s="248" t="s">
        <v>555</v>
      </c>
      <c r="C43" s="249"/>
      <c r="D43" s="261" t="s">
        <v>9</v>
      </c>
      <c r="E43" s="287" t="s">
        <v>162</v>
      </c>
      <c r="F43" s="287" t="s">
        <v>675</v>
      </c>
      <c r="G43" s="248" t="s">
        <v>546</v>
      </c>
      <c r="H43" s="273"/>
      <c r="I43" s="273" t="s">
        <v>564</v>
      </c>
      <c r="J43" s="52">
        <v>46309</v>
      </c>
      <c r="K43" s="254" t="s">
        <v>666</v>
      </c>
      <c r="L43" s="284"/>
      <c r="M43" s="265"/>
      <c r="N43" s="264" t="s">
        <v>676</v>
      </c>
      <c r="O43" s="264" t="s">
        <v>677</v>
      </c>
      <c r="P43" s="285"/>
      <c r="Q43" s="285"/>
    </row>
    <row r="44" ht="66" customHeight="1" spans="1:31">
      <c r="A44" s="248">
        <f t="shared" si="0"/>
        <v>38</v>
      </c>
      <c r="B44" s="248" t="s">
        <v>555</v>
      </c>
      <c r="C44" s="249"/>
      <c r="D44" s="261" t="s">
        <v>9</v>
      </c>
      <c r="E44" s="287" t="s">
        <v>166</v>
      </c>
      <c r="F44" s="287" t="s">
        <v>678</v>
      </c>
      <c r="G44" s="248" t="s">
        <v>546</v>
      </c>
      <c r="H44" s="273" t="s">
        <v>546</v>
      </c>
      <c r="I44" s="273" t="s">
        <v>557</v>
      </c>
      <c r="J44" s="52">
        <v>46309</v>
      </c>
      <c r="K44" s="288"/>
      <c r="L44" s="284"/>
      <c r="M44" s="265" t="s">
        <v>572</v>
      </c>
      <c r="N44" s="264" t="s">
        <v>679</v>
      </c>
      <c r="O44" s="264" t="s">
        <v>680</v>
      </c>
      <c r="P44" s="285"/>
      <c r="Q44" s="285"/>
    </row>
    <row r="45" s="213" customFormat="1" ht="70.5" customHeight="1" spans="1:31">
      <c r="A45" s="248">
        <f t="shared" si="0"/>
        <v>39</v>
      </c>
      <c r="B45" s="248" t="s">
        <v>555</v>
      </c>
      <c r="C45" s="249"/>
      <c r="D45" s="261" t="s">
        <v>9</v>
      </c>
      <c r="E45" s="287" t="s">
        <v>170</v>
      </c>
      <c r="F45" s="287" t="s">
        <v>681</v>
      </c>
      <c r="G45" s="248" t="s">
        <v>546</v>
      </c>
      <c r="H45" s="273" t="s">
        <v>546</v>
      </c>
      <c r="I45" s="273" t="s">
        <v>557</v>
      </c>
      <c r="J45" s="52">
        <v>46310</v>
      </c>
      <c r="K45" s="288"/>
      <c r="L45" s="284"/>
      <c r="M45" s="265"/>
      <c r="N45" s="264" t="s">
        <v>682</v>
      </c>
      <c r="O45" s="264" t="s">
        <v>683</v>
      </c>
      <c r="P45" s="285"/>
      <c r="Q45" s="285"/>
      <c r="R45" s="260"/>
      <c r="S45" s="260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260"/>
      <c r="AE45" s="260"/>
    </row>
    <row r="46" s="213" customFormat="1" ht="23.25" customHeight="1" spans="1:31">
      <c r="A46" s="248">
        <f t="shared" si="0"/>
        <v>40</v>
      </c>
      <c r="B46" s="248" t="s">
        <v>555</v>
      </c>
      <c r="C46" s="249"/>
      <c r="D46" s="261" t="s">
        <v>9</v>
      </c>
      <c r="E46" s="287" t="s">
        <v>684</v>
      </c>
      <c r="F46" s="287" t="s">
        <v>685</v>
      </c>
      <c r="G46" s="248"/>
      <c r="H46" s="273"/>
      <c r="I46" s="273" t="s">
        <v>557</v>
      </c>
      <c r="J46" s="248"/>
      <c r="K46" s="290" t="s">
        <v>686</v>
      </c>
      <c r="L46" s="291"/>
      <c r="M46" s="265" t="s">
        <v>17</v>
      </c>
      <c r="N46" s="264" t="s">
        <v>623</v>
      </c>
      <c r="O46" s="258" t="s">
        <v>623</v>
      </c>
      <c r="P46" s="285"/>
      <c r="Q46" s="285"/>
      <c r="R46" s="260"/>
      <c r="S46" s="260"/>
      <c r="T46" s="260"/>
      <c r="U46" s="260"/>
      <c r="V46" s="260"/>
      <c r="W46" s="260"/>
      <c r="X46" s="260"/>
      <c r="Y46" s="260"/>
      <c r="Z46" s="260"/>
      <c r="AA46" s="260"/>
      <c r="AB46" s="260"/>
      <c r="AC46" s="260"/>
      <c r="AD46" s="260"/>
      <c r="AE46" s="260"/>
    </row>
    <row r="47" s="213" customFormat="1" ht="58.5" customHeight="1" spans="1:31">
      <c r="A47" s="248">
        <f t="shared" si="0"/>
        <v>41</v>
      </c>
      <c r="B47" s="248" t="s">
        <v>555</v>
      </c>
      <c r="C47" s="249"/>
      <c r="D47" s="261" t="s">
        <v>9</v>
      </c>
      <c r="E47" s="287" t="s">
        <v>177</v>
      </c>
      <c r="F47" s="287" t="s">
        <v>687</v>
      </c>
      <c r="G47" s="248" t="s">
        <v>546</v>
      </c>
      <c r="H47" s="273" t="s">
        <v>546</v>
      </c>
      <c r="I47" s="288" t="s">
        <v>557</v>
      </c>
      <c r="J47" s="255"/>
      <c r="K47" s="254" t="s">
        <v>688</v>
      </c>
      <c r="L47" s="280" t="s">
        <v>689</v>
      </c>
      <c r="M47" s="265" t="s">
        <v>33</v>
      </c>
      <c r="N47" s="264" t="s">
        <v>690</v>
      </c>
      <c r="O47" s="258"/>
      <c r="P47" s="285"/>
      <c r="Q47" s="285"/>
      <c r="R47" s="260"/>
      <c r="S47" s="260"/>
      <c r="T47" s="260"/>
      <c r="U47" s="260"/>
      <c r="V47" s="260"/>
      <c r="W47" s="260"/>
      <c r="X47" s="260"/>
      <c r="Y47" s="260"/>
      <c r="Z47" s="260"/>
      <c r="AA47" s="260"/>
      <c r="AB47" s="260"/>
      <c r="AC47" s="260"/>
      <c r="AD47" s="260"/>
      <c r="AE47" s="260"/>
    </row>
    <row r="48" s="213" customFormat="1" ht="99.75" customHeight="1" spans="1:31">
      <c r="A48" s="248">
        <f t="shared" si="0"/>
        <v>42</v>
      </c>
      <c r="B48" s="248" t="s">
        <v>555</v>
      </c>
      <c r="C48" s="249"/>
      <c r="D48" s="261" t="s">
        <v>9</v>
      </c>
      <c r="E48" s="292" t="s">
        <v>181</v>
      </c>
      <c r="F48" s="292" t="s">
        <v>691</v>
      </c>
      <c r="G48" s="248" t="s">
        <v>546</v>
      </c>
      <c r="H48" s="273"/>
      <c r="I48" s="273" t="s">
        <v>564</v>
      </c>
      <c r="J48" s="255"/>
      <c r="K48" s="254" t="s">
        <v>692</v>
      </c>
      <c r="L48" s="284"/>
      <c r="M48" s="265" t="s">
        <v>182</v>
      </c>
      <c r="N48" s="264" t="s">
        <v>693</v>
      </c>
      <c r="O48" s="264" t="s">
        <v>694</v>
      </c>
      <c r="P48" s="285"/>
      <c r="Q48" s="285"/>
      <c r="R48" s="260"/>
      <c r="S48" s="260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</row>
    <row r="49" s="213" customFormat="1" ht="59.25" customHeight="1" spans="1:31">
      <c r="A49" s="248">
        <f t="shared" si="0"/>
        <v>43</v>
      </c>
      <c r="B49" s="248" t="s">
        <v>555</v>
      </c>
      <c r="C49" s="249"/>
      <c r="D49" s="261" t="s">
        <v>9</v>
      </c>
      <c r="E49" s="292" t="s">
        <v>186</v>
      </c>
      <c r="F49" s="292" t="s">
        <v>695</v>
      </c>
      <c r="G49" s="248" t="s">
        <v>546</v>
      </c>
      <c r="H49" s="273" t="s">
        <v>546</v>
      </c>
      <c r="I49" s="273" t="s">
        <v>557</v>
      </c>
      <c r="J49" s="255"/>
      <c r="K49" s="254" t="s">
        <v>692</v>
      </c>
      <c r="L49" s="284"/>
      <c r="M49" s="265" t="s">
        <v>588</v>
      </c>
      <c r="N49" s="299" t="s">
        <v>696</v>
      </c>
      <c r="O49" s="264" t="s">
        <v>697</v>
      </c>
      <c r="P49" s="285"/>
      <c r="Q49" s="285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</row>
    <row r="50" s="213" customFormat="1" ht="61.5" customHeight="1" spans="1:31">
      <c r="A50" s="248">
        <f t="shared" si="0"/>
        <v>44</v>
      </c>
      <c r="B50" s="248" t="s">
        <v>555</v>
      </c>
      <c r="C50" s="249"/>
      <c r="D50" s="261" t="s">
        <v>9</v>
      </c>
      <c r="E50" s="292" t="s">
        <v>191</v>
      </c>
      <c r="F50" s="292" t="s">
        <v>698</v>
      </c>
      <c r="G50" s="248" t="s">
        <v>546</v>
      </c>
      <c r="H50" s="273" t="s">
        <v>546</v>
      </c>
      <c r="I50" s="273" t="s">
        <v>557</v>
      </c>
      <c r="J50" s="255"/>
      <c r="K50" s="254" t="s">
        <v>692</v>
      </c>
      <c r="L50" s="284"/>
      <c r="M50" s="265"/>
      <c r="N50" s="299" t="s">
        <v>696</v>
      </c>
      <c r="O50" s="264" t="s">
        <v>699</v>
      </c>
      <c r="P50" s="285"/>
      <c r="Q50" s="285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</row>
    <row r="51" s="213" customFormat="1" ht="23.25" customHeight="1" spans="1:31">
      <c r="A51" s="248">
        <f t="shared" si="0"/>
        <v>45</v>
      </c>
      <c r="B51" s="248" t="s">
        <v>555</v>
      </c>
      <c r="C51" s="249"/>
      <c r="D51" s="261" t="s">
        <v>9</v>
      </c>
      <c r="E51" s="287" t="s">
        <v>700</v>
      </c>
      <c r="F51" s="287" t="s">
        <v>701</v>
      </c>
      <c r="G51" s="248"/>
      <c r="H51" s="273"/>
      <c r="I51" s="273" t="s">
        <v>557</v>
      </c>
      <c r="J51" s="255"/>
      <c r="K51" s="254" t="s">
        <v>692</v>
      </c>
      <c r="L51" s="284"/>
      <c r="M51" s="265" t="s">
        <v>187</v>
      </c>
      <c r="N51" s="264" t="s">
        <v>702</v>
      </c>
      <c r="O51" s="258" t="s">
        <v>702</v>
      </c>
      <c r="P51" s="285"/>
      <c r="Q51" s="285"/>
      <c r="R51" s="260"/>
      <c r="S51" s="260"/>
      <c r="T51" s="260"/>
      <c r="U51" s="260"/>
      <c r="V51" s="260"/>
      <c r="W51" s="260"/>
      <c r="X51" s="260"/>
      <c r="Y51" s="260"/>
      <c r="Z51" s="260"/>
      <c r="AA51" s="260"/>
      <c r="AB51" s="260"/>
      <c r="AC51" s="260"/>
      <c r="AD51" s="260"/>
      <c r="AE51" s="260"/>
    </row>
    <row r="52" s="213" customFormat="1" ht="23.25" customHeight="1" spans="1:31">
      <c r="A52" s="248">
        <f t="shared" si="0"/>
        <v>46</v>
      </c>
      <c r="B52" s="248" t="s">
        <v>555</v>
      </c>
      <c r="C52" s="249"/>
      <c r="D52" s="261" t="s">
        <v>9</v>
      </c>
      <c r="E52" s="292" t="s">
        <v>198</v>
      </c>
      <c r="F52" s="292" t="s">
        <v>703</v>
      </c>
      <c r="G52" s="248" t="s">
        <v>546</v>
      </c>
      <c r="H52" s="273"/>
      <c r="I52" s="273" t="s">
        <v>564</v>
      </c>
      <c r="J52" s="255"/>
      <c r="K52" s="254" t="s">
        <v>692</v>
      </c>
      <c r="L52" s="284"/>
      <c r="M52" s="265" t="s">
        <v>54</v>
      </c>
      <c r="N52" s="264" t="s">
        <v>704</v>
      </c>
      <c r="O52" s="258"/>
      <c r="P52" s="285"/>
      <c r="Q52" s="285"/>
      <c r="R52" s="260"/>
      <c r="S52" s="260"/>
      <c r="T52" s="260"/>
      <c r="U52" s="260"/>
      <c r="V52" s="260"/>
      <c r="W52" s="260"/>
      <c r="X52" s="260"/>
      <c r="Y52" s="260"/>
      <c r="Z52" s="260"/>
      <c r="AA52" s="260"/>
      <c r="AB52" s="260"/>
      <c r="AC52" s="260"/>
      <c r="AD52" s="260"/>
      <c r="AE52" s="260"/>
    </row>
    <row r="53" s="213" customFormat="1" ht="23.25" customHeight="1" spans="1:31">
      <c r="A53" s="248">
        <f t="shared" si="0"/>
        <v>47</v>
      </c>
      <c r="B53" s="248" t="s">
        <v>555</v>
      </c>
      <c r="C53" s="249"/>
      <c r="D53" s="261" t="s">
        <v>9</v>
      </c>
      <c r="E53" s="292" t="s">
        <v>202</v>
      </c>
      <c r="F53" s="292" t="s">
        <v>705</v>
      </c>
      <c r="G53" s="248" t="s">
        <v>546</v>
      </c>
      <c r="H53" s="273"/>
      <c r="I53" s="273" t="s">
        <v>564</v>
      </c>
      <c r="J53" s="255"/>
      <c r="K53" s="254" t="s">
        <v>692</v>
      </c>
      <c r="L53" s="284"/>
      <c r="M53" s="265"/>
      <c r="N53" s="264" t="s">
        <v>704</v>
      </c>
      <c r="O53" s="258"/>
      <c r="P53" s="285"/>
      <c r="Q53" s="285"/>
      <c r="R53" s="260"/>
      <c r="S53" s="260"/>
      <c r="T53" s="260"/>
      <c r="U53" s="260"/>
      <c r="V53" s="260"/>
      <c r="W53" s="260"/>
      <c r="X53" s="260"/>
      <c r="Y53" s="260"/>
      <c r="Z53" s="260"/>
      <c r="AA53" s="260"/>
      <c r="AB53" s="260"/>
      <c r="AC53" s="260"/>
      <c r="AD53" s="260"/>
      <c r="AE53" s="260"/>
    </row>
    <row r="54" s="213" customFormat="1" ht="23.25" customHeight="1" spans="1:31">
      <c r="A54" s="248">
        <f t="shared" si="0"/>
        <v>48</v>
      </c>
      <c r="B54" s="248" t="s">
        <v>555</v>
      </c>
      <c r="C54" s="249"/>
      <c r="D54" s="266" t="s">
        <v>9</v>
      </c>
      <c r="E54" s="300" t="s">
        <v>206</v>
      </c>
      <c r="F54" s="300" t="s">
        <v>706</v>
      </c>
      <c r="G54" s="268" t="s">
        <v>546</v>
      </c>
      <c r="H54" s="301" t="s">
        <v>546</v>
      </c>
      <c r="I54" s="301" t="s">
        <v>557</v>
      </c>
      <c r="J54" s="255"/>
      <c r="K54" s="302" t="s">
        <v>707</v>
      </c>
      <c r="L54" s="291"/>
      <c r="M54" s="297"/>
      <c r="N54" s="264" t="s">
        <v>708</v>
      </c>
      <c r="O54" s="258" t="s">
        <v>702</v>
      </c>
      <c r="P54" s="303"/>
      <c r="Q54" s="303"/>
      <c r="R54" s="260"/>
      <c r="S54" s="260"/>
      <c r="T54" s="260"/>
      <c r="U54" s="260"/>
      <c r="V54" s="260"/>
      <c r="W54" s="260"/>
      <c r="X54" s="260"/>
      <c r="Y54" s="260"/>
      <c r="Z54" s="260"/>
      <c r="AA54" s="260"/>
      <c r="AB54" s="260"/>
      <c r="AC54" s="260"/>
      <c r="AD54" s="260"/>
      <c r="AE54" s="260"/>
    </row>
    <row r="55" s="213" customFormat="1" ht="23.25" customHeight="1" spans="1:31">
      <c r="A55" s="248">
        <f t="shared" si="0"/>
        <v>49</v>
      </c>
      <c r="B55" s="248" t="s">
        <v>555</v>
      </c>
      <c r="C55" s="248"/>
      <c r="D55" s="271" t="s">
        <v>9</v>
      </c>
      <c r="E55" s="304" t="s">
        <v>210</v>
      </c>
      <c r="F55" s="304" t="s">
        <v>709</v>
      </c>
      <c r="G55" s="271" t="s">
        <v>623</v>
      </c>
      <c r="H55" s="305" t="s">
        <v>546</v>
      </c>
      <c r="I55" s="305" t="s">
        <v>557</v>
      </c>
      <c r="J55" s="255"/>
      <c r="K55" s="254"/>
      <c r="L55" s="306"/>
      <c r="M55" s="265" t="s">
        <v>211</v>
      </c>
      <c r="N55" s="264" t="s">
        <v>702</v>
      </c>
      <c r="O55" s="258" t="s">
        <v>702</v>
      </c>
      <c r="P55" s="307"/>
      <c r="Q55" s="285"/>
      <c r="R55" s="260"/>
      <c r="S55" s="260"/>
      <c r="T55" s="260"/>
      <c r="U55" s="260"/>
      <c r="V55" s="260"/>
      <c r="W55" s="260"/>
      <c r="X55" s="260"/>
      <c r="Y55" s="260"/>
      <c r="Z55" s="260"/>
      <c r="AA55" s="260"/>
      <c r="AB55" s="260"/>
      <c r="AC55" s="260"/>
      <c r="AD55" s="260"/>
      <c r="AE55" s="260"/>
    </row>
    <row r="56" s="213" customFormat="1" ht="51" customHeight="1" spans="1:31">
      <c r="A56" s="248">
        <f t="shared" si="0"/>
        <v>50</v>
      </c>
      <c r="B56" s="248" t="s">
        <v>555</v>
      </c>
      <c r="C56" s="249"/>
      <c r="D56" s="250" t="s">
        <v>96</v>
      </c>
      <c r="E56" s="308" t="s">
        <v>214</v>
      </c>
      <c r="F56" s="309" t="s">
        <v>710</v>
      </c>
      <c r="G56" s="252" t="s">
        <v>623</v>
      </c>
      <c r="H56" s="310" t="s">
        <v>546</v>
      </c>
      <c r="I56" s="311" t="s">
        <v>557</v>
      </c>
      <c r="J56" s="248"/>
      <c r="K56" s="279" t="s">
        <v>711</v>
      </c>
      <c r="L56" s="255" t="s">
        <v>712</v>
      </c>
      <c r="M56" s="312" t="s">
        <v>215</v>
      </c>
      <c r="N56" s="264" t="s">
        <v>702</v>
      </c>
      <c r="O56" s="258" t="s">
        <v>702</v>
      </c>
      <c r="P56" s="259" t="s">
        <v>713</v>
      </c>
      <c r="Q56" s="259" t="s">
        <v>714</v>
      </c>
      <c r="R56" s="260"/>
      <c r="S56" s="260"/>
      <c r="T56" s="260"/>
      <c r="U56" s="260"/>
      <c r="V56" s="260"/>
      <c r="W56" s="260"/>
      <c r="X56" s="260"/>
      <c r="Y56" s="260"/>
      <c r="Z56" s="260"/>
      <c r="AA56" s="260"/>
      <c r="AB56" s="260"/>
      <c r="AC56" s="260"/>
      <c r="AD56" s="260"/>
      <c r="AE56" s="260"/>
    </row>
    <row r="57" s="213" customFormat="1" ht="33" customHeight="1" spans="1:31">
      <c r="A57" s="248">
        <f t="shared" si="0"/>
        <v>51</v>
      </c>
      <c r="B57" s="248" t="s">
        <v>555</v>
      </c>
      <c r="C57" s="249"/>
      <c r="D57" s="261" t="s">
        <v>9</v>
      </c>
      <c r="E57" s="313" t="s">
        <v>218</v>
      </c>
      <c r="F57" s="314" t="s">
        <v>715</v>
      </c>
      <c r="G57" s="248" t="s">
        <v>546</v>
      </c>
      <c r="H57" s="315" t="s">
        <v>546</v>
      </c>
      <c r="I57" s="316" t="s">
        <v>557</v>
      </c>
      <c r="J57" s="248"/>
      <c r="K57" s="254" t="s">
        <v>716</v>
      </c>
      <c r="L57" s="255"/>
      <c r="M57" s="265" t="s">
        <v>219</v>
      </c>
      <c r="N57" s="264" t="s">
        <v>717</v>
      </c>
      <c r="O57" s="264" t="s">
        <v>718</v>
      </c>
      <c r="P57" s="285"/>
      <c r="Q57" s="285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</row>
    <row r="58" s="213" customFormat="1" ht="23.25" customHeight="1" spans="1:31">
      <c r="A58" s="248">
        <f t="shared" si="0"/>
        <v>52</v>
      </c>
      <c r="B58" s="248" t="s">
        <v>555</v>
      </c>
      <c r="C58" s="249"/>
      <c r="D58" s="261" t="s">
        <v>9</v>
      </c>
      <c r="E58" s="317" t="s">
        <v>223</v>
      </c>
      <c r="F58" s="314" t="s">
        <v>719</v>
      </c>
      <c r="G58" s="248" t="s">
        <v>546</v>
      </c>
      <c r="H58" s="315"/>
      <c r="I58" s="316" t="s">
        <v>564</v>
      </c>
      <c r="J58" s="248"/>
      <c r="K58" s="254" t="s">
        <v>720</v>
      </c>
      <c r="L58" s="255"/>
      <c r="M58" s="265"/>
      <c r="N58" s="264" t="s">
        <v>721</v>
      </c>
      <c r="O58" s="258"/>
      <c r="P58" s="285"/>
      <c r="Q58" s="285"/>
      <c r="R58" s="260"/>
      <c r="S58" s="260"/>
      <c r="T58" s="260"/>
      <c r="U58" s="260"/>
      <c r="V58" s="260"/>
      <c r="W58" s="260"/>
      <c r="X58" s="260"/>
      <c r="Y58" s="260"/>
      <c r="Z58" s="260"/>
      <c r="AA58" s="260"/>
      <c r="AB58" s="260"/>
      <c r="AC58" s="260"/>
      <c r="AD58" s="260"/>
      <c r="AE58" s="260"/>
    </row>
    <row r="59" s="213" customFormat="1" ht="23.25" customHeight="1" spans="1:31">
      <c r="A59" s="248">
        <f t="shared" si="0"/>
        <v>53</v>
      </c>
      <c r="B59" s="248" t="s">
        <v>555</v>
      </c>
      <c r="C59" s="249"/>
      <c r="D59" s="261" t="s">
        <v>9</v>
      </c>
      <c r="E59" s="313" t="s">
        <v>227</v>
      </c>
      <c r="F59" s="314" t="s">
        <v>722</v>
      </c>
      <c r="G59" s="248" t="s">
        <v>546</v>
      </c>
      <c r="H59" s="315"/>
      <c r="I59" s="316" t="s">
        <v>564</v>
      </c>
      <c r="J59" s="248"/>
      <c r="K59" s="254" t="s">
        <v>720</v>
      </c>
      <c r="L59" s="255"/>
      <c r="M59" s="265"/>
      <c r="N59" s="264" t="s">
        <v>721</v>
      </c>
      <c r="O59" s="258"/>
      <c r="P59" s="285"/>
      <c r="Q59" s="285"/>
      <c r="R59" s="260"/>
      <c r="S59" s="260"/>
      <c r="T59" s="260"/>
      <c r="U59" s="260"/>
      <c r="V59" s="260"/>
      <c r="W59" s="260"/>
      <c r="X59" s="260"/>
      <c r="Y59" s="260"/>
      <c r="Z59" s="260"/>
      <c r="AA59" s="260"/>
      <c r="AB59" s="260"/>
      <c r="AC59" s="260"/>
      <c r="AD59" s="260"/>
      <c r="AE59" s="260"/>
    </row>
    <row r="60" s="213" customFormat="1" ht="37.5" customHeight="1" spans="1:31">
      <c r="A60" s="248">
        <f t="shared" si="0"/>
        <v>54</v>
      </c>
      <c r="B60" s="248" t="s">
        <v>555</v>
      </c>
      <c r="C60" s="249"/>
      <c r="D60" s="261" t="s">
        <v>9</v>
      </c>
      <c r="E60" s="313" t="s">
        <v>231</v>
      </c>
      <c r="F60" s="314" t="s">
        <v>723</v>
      </c>
      <c r="G60" s="318" t="s">
        <v>546</v>
      </c>
      <c r="H60" s="315"/>
      <c r="I60" s="316" t="s">
        <v>564</v>
      </c>
      <c r="J60" s="248"/>
      <c r="K60" s="254" t="s">
        <v>724</v>
      </c>
      <c r="L60" s="255"/>
      <c r="M60" s="265"/>
      <c r="N60" s="319" t="s">
        <v>702</v>
      </c>
      <c r="O60" s="319" t="s">
        <v>702</v>
      </c>
      <c r="P60" s="285"/>
      <c r="Q60" s="285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</row>
    <row r="61" s="213" customFormat="1" ht="33.75" customHeight="1" spans="1:31">
      <c r="A61" s="248">
        <f t="shared" si="0"/>
        <v>55</v>
      </c>
      <c r="B61" s="248" t="s">
        <v>555</v>
      </c>
      <c r="C61" s="249"/>
      <c r="D61" s="261" t="s">
        <v>9</v>
      </c>
      <c r="E61" s="313" t="s">
        <v>234</v>
      </c>
      <c r="F61" s="314" t="s">
        <v>725</v>
      </c>
      <c r="G61" s="248" t="s">
        <v>546</v>
      </c>
      <c r="H61" s="315"/>
      <c r="I61" s="316" t="s">
        <v>564</v>
      </c>
      <c r="J61" s="248"/>
      <c r="K61" s="254" t="s">
        <v>720</v>
      </c>
      <c r="L61" s="255"/>
      <c r="M61" s="265"/>
      <c r="N61" s="264" t="s">
        <v>726</v>
      </c>
      <c r="O61" s="264" t="s">
        <v>727</v>
      </c>
      <c r="P61" s="285"/>
      <c r="Q61" s="285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</row>
    <row r="62" s="213" customFormat="1" ht="23.25" customHeight="1" spans="1:31">
      <c r="A62" s="248">
        <f t="shared" si="0"/>
        <v>56</v>
      </c>
      <c r="B62" s="248" t="s">
        <v>555</v>
      </c>
      <c r="C62" s="249"/>
      <c r="D62" s="261" t="s">
        <v>9</v>
      </c>
      <c r="E62" s="313" t="s">
        <v>238</v>
      </c>
      <c r="F62" s="314" t="s">
        <v>728</v>
      </c>
      <c r="G62" s="318" t="s">
        <v>546</v>
      </c>
      <c r="H62" s="315"/>
      <c r="I62" s="316" t="s">
        <v>564</v>
      </c>
      <c r="J62" s="248"/>
      <c r="K62" s="254" t="s">
        <v>724</v>
      </c>
      <c r="L62" s="255"/>
      <c r="M62" s="265"/>
      <c r="N62" s="264" t="s">
        <v>702</v>
      </c>
      <c r="O62" s="258" t="s">
        <v>702</v>
      </c>
      <c r="P62" s="285"/>
      <c r="Q62" s="285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</row>
    <row r="63" s="213" customFormat="1" ht="23.25" customHeight="1" spans="1:31">
      <c r="A63" s="248">
        <f t="shared" si="0"/>
        <v>57</v>
      </c>
      <c r="B63" s="248" t="s">
        <v>555</v>
      </c>
      <c r="C63" s="249"/>
      <c r="D63" s="320" t="s">
        <v>96</v>
      </c>
      <c r="E63" s="321" t="s">
        <v>242</v>
      </c>
      <c r="F63" s="322" t="s">
        <v>729</v>
      </c>
      <c r="G63" s="248" t="s">
        <v>623</v>
      </c>
      <c r="H63" s="315"/>
      <c r="I63" s="316" t="s">
        <v>564</v>
      </c>
      <c r="J63" s="248"/>
      <c r="K63" s="254"/>
      <c r="L63" s="255"/>
      <c r="M63" s="265" t="s">
        <v>630</v>
      </c>
      <c r="N63" s="264" t="s">
        <v>702</v>
      </c>
      <c r="O63" s="258" t="s">
        <v>702</v>
      </c>
      <c r="P63" s="285"/>
      <c r="Q63" s="285"/>
      <c r="R63" s="260"/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</row>
    <row r="64" s="213" customFormat="1" ht="33.75" customHeight="1" spans="1:31">
      <c r="A64" s="248">
        <f t="shared" si="0"/>
        <v>58</v>
      </c>
      <c r="B64" s="248" t="s">
        <v>555</v>
      </c>
      <c r="C64" s="249"/>
      <c r="D64" s="261" t="s">
        <v>9</v>
      </c>
      <c r="E64" s="313" t="s">
        <v>245</v>
      </c>
      <c r="F64" s="317" t="s">
        <v>730</v>
      </c>
      <c r="G64" s="248" t="s">
        <v>546</v>
      </c>
      <c r="H64" s="315" t="s">
        <v>546</v>
      </c>
      <c r="I64" s="316" t="s">
        <v>557</v>
      </c>
      <c r="J64" s="248"/>
      <c r="K64" s="254" t="s">
        <v>731</v>
      </c>
      <c r="L64" s="255"/>
      <c r="M64" s="265" t="s">
        <v>11</v>
      </c>
      <c r="N64" s="264" t="s">
        <v>732</v>
      </c>
      <c r="O64" s="258"/>
      <c r="P64" s="285"/>
      <c r="Q64" s="285"/>
      <c r="R64" s="260"/>
      <c r="S64" s="260"/>
      <c r="T64" s="260"/>
      <c r="U64" s="260"/>
      <c r="V64" s="260"/>
      <c r="W64" s="260"/>
      <c r="X64" s="260"/>
      <c r="Y64" s="260"/>
      <c r="Z64" s="260"/>
      <c r="AA64" s="260"/>
      <c r="AB64" s="260"/>
      <c r="AC64" s="260"/>
      <c r="AD64" s="260"/>
      <c r="AE64" s="260"/>
    </row>
    <row r="65" s="213" customFormat="1" ht="32.25" customHeight="1" spans="1:31">
      <c r="A65" s="248">
        <f t="shared" si="0"/>
        <v>59</v>
      </c>
      <c r="B65" s="248" t="s">
        <v>555</v>
      </c>
      <c r="C65" s="249"/>
      <c r="D65" s="261" t="s">
        <v>9</v>
      </c>
      <c r="E65" s="313" t="s">
        <v>249</v>
      </c>
      <c r="F65" s="314" t="s">
        <v>733</v>
      </c>
      <c r="G65" s="248" t="s">
        <v>546</v>
      </c>
      <c r="H65" s="315" t="s">
        <v>546</v>
      </c>
      <c r="I65" s="316" t="s">
        <v>557</v>
      </c>
      <c r="J65" s="248"/>
      <c r="K65" s="254" t="s">
        <v>734</v>
      </c>
      <c r="L65" s="255" t="s">
        <v>735</v>
      </c>
      <c r="M65" s="265" t="s">
        <v>250</v>
      </c>
      <c r="N65" s="264" t="s">
        <v>736</v>
      </c>
      <c r="O65" s="264" t="s">
        <v>737</v>
      </c>
      <c r="P65" s="285"/>
      <c r="Q65" s="285"/>
      <c r="R65" s="260"/>
      <c r="S65" s="260"/>
      <c r="T65" s="260"/>
      <c r="U65" s="260"/>
      <c r="V65" s="260"/>
      <c r="W65" s="260"/>
      <c r="X65" s="260"/>
      <c r="Y65" s="260"/>
      <c r="Z65" s="260"/>
      <c r="AA65" s="260"/>
      <c r="AB65" s="260"/>
      <c r="AC65" s="260"/>
      <c r="AD65" s="260"/>
      <c r="AE65" s="260"/>
    </row>
    <row r="66" s="213" customFormat="1" ht="23.25" customHeight="1" spans="1:31">
      <c r="A66" s="248">
        <f t="shared" si="0"/>
        <v>60</v>
      </c>
      <c r="B66" s="248" t="s">
        <v>555</v>
      </c>
      <c r="C66" s="249"/>
      <c r="D66" s="261" t="s">
        <v>9</v>
      </c>
      <c r="E66" s="317" t="s">
        <v>254</v>
      </c>
      <c r="F66" s="314" t="s">
        <v>738</v>
      </c>
      <c r="G66" s="248" t="s">
        <v>546</v>
      </c>
      <c r="H66" s="315"/>
      <c r="I66" s="316" t="s">
        <v>564</v>
      </c>
      <c r="J66" s="248"/>
      <c r="K66" s="254" t="s">
        <v>739</v>
      </c>
      <c r="L66" s="323"/>
      <c r="M66" s="265"/>
      <c r="N66" s="264" t="s">
        <v>740</v>
      </c>
      <c r="O66" s="258"/>
      <c r="P66" s="285"/>
      <c r="Q66" s="285"/>
      <c r="R66" s="260"/>
      <c r="S66" s="260"/>
      <c r="T66" s="260"/>
      <c r="U66" s="260"/>
      <c r="V66" s="260"/>
      <c r="W66" s="260"/>
      <c r="X66" s="260"/>
      <c r="Y66" s="260"/>
      <c r="Z66" s="260"/>
      <c r="AA66" s="260"/>
      <c r="AB66" s="260"/>
      <c r="AC66" s="260"/>
      <c r="AD66" s="260"/>
      <c r="AE66" s="260"/>
    </row>
    <row r="67" s="213" customFormat="1" ht="23.25" customHeight="1" spans="1:31">
      <c r="A67" s="248">
        <f t="shared" si="0"/>
        <v>61</v>
      </c>
      <c r="B67" s="248" t="s">
        <v>555</v>
      </c>
      <c r="C67" s="249"/>
      <c r="D67" s="261" t="s">
        <v>9</v>
      </c>
      <c r="E67" s="313" t="s">
        <v>258</v>
      </c>
      <c r="F67" s="314" t="s">
        <v>741</v>
      </c>
      <c r="G67" s="248" t="s">
        <v>546</v>
      </c>
      <c r="H67" s="315"/>
      <c r="I67" s="316" t="s">
        <v>564</v>
      </c>
      <c r="J67" s="248"/>
      <c r="K67" s="254" t="s">
        <v>739</v>
      </c>
      <c r="L67" s="323"/>
      <c r="M67" s="265"/>
      <c r="N67" s="264" t="s">
        <v>740</v>
      </c>
      <c r="O67" s="258"/>
      <c r="P67" s="285"/>
      <c r="Q67" s="285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  <c r="AD67" s="260"/>
      <c r="AE67" s="260"/>
    </row>
    <row r="68" s="213" customFormat="1" ht="23.25" customHeight="1" spans="1:31">
      <c r="A68" s="248">
        <f t="shared" si="0"/>
        <v>62</v>
      </c>
      <c r="B68" s="248" t="s">
        <v>555</v>
      </c>
      <c r="C68" s="249"/>
      <c r="D68" s="261" t="s">
        <v>9</v>
      </c>
      <c r="E68" s="313" t="s">
        <v>262</v>
      </c>
      <c r="F68" s="314" t="s">
        <v>742</v>
      </c>
      <c r="G68" s="318" t="s">
        <v>546</v>
      </c>
      <c r="H68" s="315"/>
      <c r="I68" s="316" t="s">
        <v>564</v>
      </c>
      <c r="J68" s="248"/>
      <c r="K68" s="254" t="s">
        <v>724</v>
      </c>
      <c r="L68" s="323"/>
      <c r="M68" s="265"/>
      <c r="N68" s="264" t="s">
        <v>702</v>
      </c>
      <c r="O68" s="258" t="s">
        <v>702</v>
      </c>
      <c r="P68" s="285"/>
      <c r="Q68" s="285"/>
      <c r="R68" s="260"/>
      <c r="S68" s="260"/>
      <c r="T68" s="260"/>
      <c r="U68" s="260"/>
      <c r="V68" s="260"/>
      <c r="W68" s="260"/>
      <c r="X68" s="260"/>
      <c r="Y68" s="260"/>
      <c r="Z68" s="260"/>
      <c r="AA68" s="260"/>
      <c r="AB68" s="260"/>
      <c r="AC68" s="260"/>
      <c r="AD68" s="260"/>
      <c r="AE68" s="260"/>
    </row>
    <row r="69" s="213" customFormat="1" ht="34.5" customHeight="1" spans="1:31">
      <c r="A69" s="248">
        <f t="shared" si="0"/>
        <v>63</v>
      </c>
      <c r="B69" s="248" t="s">
        <v>555</v>
      </c>
      <c r="C69" s="249"/>
      <c r="D69" s="261" t="s">
        <v>9</v>
      </c>
      <c r="E69" s="313" t="s">
        <v>265</v>
      </c>
      <c r="F69" s="314" t="s">
        <v>743</v>
      </c>
      <c r="G69" s="248" t="s">
        <v>546</v>
      </c>
      <c r="H69" s="315"/>
      <c r="I69" s="316" t="s">
        <v>564</v>
      </c>
      <c r="J69" s="248"/>
      <c r="K69" s="254" t="s">
        <v>739</v>
      </c>
      <c r="L69" s="323"/>
      <c r="M69" s="265"/>
      <c r="N69" s="264" t="s">
        <v>744</v>
      </c>
      <c r="O69" s="264" t="s">
        <v>727</v>
      </c>
      <c r="P69" s="285"/>
      <c r="Q69" s="285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</row>
    <row r="70" s="213" customFormat="1" ht="23.25" customHeight="1" spans="1:31">
      <c r="A70" s="248">
        <f t="shared" si="0"/>
        <v>64</v>
      </c>
      <c r="B70" s="248" t="s">
        <v>555</v>
      </c>
      <c r="C70" s="249"/>
      <c r="D70" s="261" t="s">
        <v>96</v>
      </c>
      <c r="E70" s="321" t="s">
        <v>269</v>
      </c>
      <c r="F70" s="322" t="s">
        <v>745</v>
      </c>
      <c r="G70" s="248" t="s">
        <v>623</v>
      </c>
      <c r="H70" s="315"/>
      <c r="I70" s="316" t="s">
        <v>564</v>
      </c>
      <c r="J70" s="248"/>
      <c r="K70" s="254"/>
      <c r="L70" s="323"/>
      <c r="M70" s="265" t="s">
        <v>630</v>
      </c>
      <c r="N70" s="264" t="s">
        <v>702</v>
      </c>
      <c r="O70" s="258" t="s">
        <v>702</v>
      </c>
      <c r="P70" s="285"/>
      <c r="Q70" s="285"/>
      <c r="R70" s="260"/>
      <c r="S70" s="260"/>
      <c r="T70" s="260"/>
      <c r="U70" s="260"/>
      <c r="V70" s="260"/>
      <c r="W70" s="260"/>
      <c r="X70" s="260"/>
      <c r="Y70" s="260"/>
      <c r="Z70" s="260"/>
      <c r="AA70" s="260"/>
      <c r="AB70" s="260"/>
      <c r="AC70" s="260"/>
      <c r="AD70" s="260"/>
      <c r="AE70" s="260"/>
    </row>
    <row r="71" s="213" customFormat="1" ht="42.75" customHeight="1" spans="1:31">
      <c r="A71" s="248">
        <f t="shared" si="0"/>
        <v>65</v>
      </c>
      <c r="B71" s="248" t="s">
        <v>555</v>
      </c>
      <c r="C71" s="249"/>
      <c r="D71" s="266" t="s">
        <v>9</v>
      </c>
      <c r="E71" s="324" t="s">
        <v>272</v>
      </c>
      <c r="F71" s="324" t="s">
        <v>746</v>
      </c>
      <c r="G71" s="268" t="s">
        <v>546</v>
      </c>
      <c r="H71" s="325" t="s">
        <v>546</v>
      </c>
      <c r="I71" s="326" t="s">
        <v>557</v>
      </c>
      <c r="J71" s="248"/>
      <c r="K71" s="302" t="s">
        <v>747</v>
      </c>
      <c r="L71" s="323"/>
      <c r="M71" s="269" t="s">
        <v>33</v>
      </c>
      <c r="N71" s="264" t="s">
        <v>740</v>
      </c>
      <c r="O71" s="258"/>
      <c r="P71" s="303"/>
      <c r="Q71" s="303"/>
      <c r="R71" s="260"/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</row>
    <row r="73" spans="1:31">
      <c r="K73" s="215" t="s">
        <v>748</v>
      </c>
    </row>
  </sheetData>
  <mergeCells count="49">
    <mergeCell ref="A2:G2"/>
    <mergeCell ref="A3:B3"/>
    <mergeCell ref="A4:A6"/>
    <mergeCell ref="B4:B6"/>
    <mergeCell ref="C4:C6"/>
    <mergeCell ref="C7:C38"/>
    <mergeCell ref="C39:C71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L7:L12"/>
    <mergeCell ref="L13:L19"/>
    <mergeCell ref="L21:L28"/>
    <mergeCell ref="L29:L38"/>
    <mergeCell ref="L39:L46"/>
    <mergeCell ref="L47:L54"/>
    <mergeCell ref="L56:L64"/>
    <mergeCell ref="L65:L71"/>
    <mergeCell ref="M4:M6"/>
    <mergeCell ref="M9:M10"/>
    <mergeCell ref="M13:M15"/>
    <mergeCell ref="M17:M19"/>
    <mergeCell ref="M22:M27"/>
    <mergeCell ref="M30:M34"/>
    <mergeCell ref="M35:M37"/>
    <mergeCell ref="M40:M43"/>
    <mergeCell ref="M44:M45"/>
    <mergeCell ref="M49:M50"/>
    <mergeCell ref="M52:M54"/>
    <mergeCell ref="M57:M62"/>
    <mergeCell ref="M65:M69"/>
    <mergeCell ref="N4:N6"/>
    <mergeCell ref="O4:O6"/>
    <mergeCell ref="P4:P6"/>
    <mergeCell ref="P7:P19"/>
    <mergeCell ref="P21:P38"/>
    <mergeCell ref="P39:P54"/>
    <mergeCell ref="P56:P71"/>
    <mergeCell ref="Q4:Q6"/>
    <mergeCell ref="Q7:Q19"/>
    <mergeCell ref="Q21:Q38"/>
    <mergeCell ref="Q39:Q54"/>
    <mergeCell ref="Q56:Q71"/>
  </mergeCells>
  <pageMargins left="0.7" right="0.7" top="0.75" bottom="0.75" header="0.3" footer="0.3"/>
  <pageSetup paperSize="1" orientation="portrait" horizontalDpi="3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1:O22"/>
  <sheetViews>
    <sheetView workbookViewId="0">
      <selection activeCell="O29" sqref="O29"/>
    </sheetView>
  </sheetViews>
  <sheetFormatPr defaultColWidth="9" defaultRowHeight="15"/>
  <sheetData>
    <row r="21" spans="14:15">
      <c r="N21" t="s">
        <v>749</v>
      </c>
      <c r="O21">
        <f>16/56*100</f>
        <v>28.5714285714286</v>
      </c>
    </row>
    <row r="22" spans="14:15">
      <c r="N22" t="s">
        <v>750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F30" sqref="F30"/>
    </sheetView>
  </sheetViews>
  <sheetFormatPr defaultColWidth="12" defaultRowHeight="15"/>
  <cols>
    <col min="1" max="1" width="16.1428571428571" style="3" customWidth="1"/>
    <col min="2" max="2" width="10.8571428571429" style="3" customWidth="1"/>
    <col min="3" max="3" width="17.2857142857143" style="3" customWidth="1"/>
    <col min="4" max="4" width="9" style="3" customWidth="1"/>
    <col min="5" max="6" width="21" style="3" customWidth="1"/>
    <col min="7" max="7" width="21.1428571428571" style="3" customWidth="1"/>
    <col min="8" max="8" width="21" style="3" customWidth="1"/>
    <col min="9" max="9" width="14.7142857142857" style="3" customWidth="1"/>
    <col min="10" max="10" width="15.1428571428571" style="3" customWidth="1"/>
    <col min="11" max="11" width="14.7142857142857" style="3" customWidth="1"/>
    <col min="12" max="12" width="16.8571428571429" style="3" customWidth="1"/>
    <col min="13" max="13" width="15.1428571428571" style="3" customWidth="1"/>
    <col min="14" max="16384" width="12" style="3"/>
  </cols>
  <sheetData>
    <row r="1" spans="1:13">
      <c r="A1" s="170" t="s">
        <v>751</v>
      </c>
      <c r="B1" s="171"/>
      <c r="C1" s="171"/>
      <c r="D1" s="172"/>
      <c r="E1" s="173"/>
      <c r="F1" s="173"/>
      <c r="G1" s="173"/>
      <c r="H1" s="173"/>
      <c r="I1" s="173"/>
      <c r="J1" s="174"/>
      <c r="K1" s="173"/>
      <c r="L1" s="173"/>
    </row>
    <row r="2" spans="1:13">
      <c r="A2" s="175"/>
      <c r="B2" s="176"/>
      <c r="C2" s="176"/>
      <c r="D2" s="177"/>
      <c r="E2" s="173"/>
      <c r="F2" s="173"/>
      <c r="G2" s="173"/>
      <c r="H2" s="173"/>
      <c r="I2" s="173"/>
      <c r="J2" s="174"/>
      <c r="K2" s="173"/>
      <c r="L2" s="173"/>
    </row>
    <row r="3" spans="1:13">
      <c r="A3" s="178" t="s">
        <v>752</v>
      </c>
      <c r="B3" s="179" t="s">
        <v>753</v>
      </c>
      <c r="C3" s="180" t="s">
        <v>754</v>
      </c>
      <c r="D3" s="181" t="s">
        <v>755</v>
      </c>
      <c r="E3" s="182" t="s">
        <v>756</v>
      </c>
      <c r="F3" s="182"/>
      <c r="G3" s="182"/>
      <c r="H3" s="182"/>
      <c r="I3" s="182"/>
      <c r="J3" s="182"/>
      <c r="K3" s="182"/>
      <c r="L3" s="182"/>
      <c r="M3" s="182"/>
    </row>
    <row r="4" ht="24" spans="1:13">
      <c r="A4" s="183"/>
      <c r="B4" s="184"/>
      <c r="C4" s="185"/>
      <c r="D4" s="186"/>
      <c r="E4" s="187" t="s">
        <v>757</v>
      </c>
      <c r="F4" s="187" t="s">
        <v>758</v>
      </c>
      <c r="G4" s="187" t="s">
        <v>759</v>
      </c>
      <c r="H4" s="187" t="s">
        <v>760</v>
      </c>
      <c r="I4" s="187" t="s">
        <v>761</v>
      </c>
      <c r="J4" s="187" t="s">
        <v>762</v>
      </c>
      <c r="K4" s="187" t="s">
        <v>763</v>
      </c>
      <c r="L4" s="187" t="s">
        <v>764</v>
      </c>
      <c r="M4" s="187" t="s">
        <v>765</v>
      </c>
    </row>
    <row r="5" spans="1:13">
      <c r="A5" s="188" t="s">
        <v>766</v>
      </c>
      <c r="B5" s="189" t="s">
        <v>767</v>
      </c>
      <c r="C5" s="189" t="s">
        <v>557</v>
      </c>
      <c r="D5" s="190" t="s">
        <v>755</v>
      </c>
      <c r="E5" s="191">
        <v>46297</v>
      </c>
      <c r="F5" s="192" t="s">
        <v>623</v>
      </c>
      <c r="G5" s="192" t="s">
        <v>623</v>
      </c>
      <c r="H5" s="192" t="s">
        <v>623</v>
      </c>
      <c r="I5" s="191">
        <v>46302</v>
      </c>
      <c r="J5" s="191">
        <v>46303</v>
      </c>
      <c r="K5" s="192" t="s">
        <v>623</v>
      </c>
      <c r="L5" s="191">
        <v>46305</v>
      </c>
      <c r="M5" s="193">
        <v>46310</v>
      </c>
    </row>
    <row r="6" spans="1:13">
      <c r="A6" s="188"/>
      <c r="B6" s="189"/>
      <c r="C6" s="189"/>
      <c r="D6" s="190" t="s">
        <v>768</v>
      </c>
      <c r="E6" s="194"/>
      <c r="F6" s="192" t="s">
        <v>623</v>
      </c>
      <c r="G6" s="192" t="s">
        <v>623</v>
      </c>
      <c r="H6" s="192" t="s">
        <v>623</v>
      </c>
      <c r="I6" s="194"/>
      <c r="J6" s="194"/>
      <c r="K6" s="192" t="s">
        <v>623</v>
      </c>
      <c r="L6" s="195"/>
      <c r="M6" s="196"/>
    </row>
    <row r="7" spans="1:13">
      <c r="A7" s="188"/>
      <c r="B7" s="189" t="s">
        <v>769</v>
      </c>
      <c r="C7" s="189" t="s">
        <v>557</v>
      </c>
      <c r="D7" s="190" t="s">
        <v>755</v>
      </c>
      <c r="E7" s="191">
        <v>46297</v>
      </c>
      <c r="F7" s="192" t="s">
        <v>623</v>
      </c>
      <c r="G7" s="192" t="s">
        <v>623</v>
      </c>
      <c r="H7" s="192" t="s">
        <v>623</v>
      </c>
      <c r="I7" s="191">
        <v>46302</v>
      </c>
      <c r="J7" s="191">
        <v>46302</v>
      </c>
      <c r="K7" s="192" t="s">
        <v>623</v>
      </c>
      <c r="L7" s="191">
        <v>46305</v>
      </c>
      <c r="M7" s="196"/>
    </row>
    <row r="8" spans="1:13">
      <c r="A8" s="188"/>
      <c r="B8" s="189"/>
      <c r="C8" s="189"/>
      <c r="D8" s="190" t="s">
        <v>768</v>
      </c>
      <c r="E8" s="194"/>
      <c r="F8" s="192" t="s">
        <v>623</v>
      </c>
      <c r="G8" s="192" t="s">
        <v>623</v>
      </c>
      <c r="H8" s="192" t="s">
        <v>623</v>
      </c>
      <c r="I8" s="194"/>
      <c r="J8" s="197"/>
      <c r="K8" s="192" t="s">
        <v>623</v>
      </c>
      <c r="L8" s="195"/>
      <c r="M8" s="196"/>
    </row>
    <row r="9" spans="1:13">
      <c r="A9" s="188"/>
      <c r="B9" s="189" t="s">
        <v>770</v>
      </c>
      <c r="C9" s="189" t="s">
        <v>557</v>
      </c>
      <c r="D9" s="190" t="s">
        <v>755</v>
      </c>
      <c r="E9" s="192" t="s">
        <v>623</v>
      </c>
      <c r="F9" s="192" t="s">
        <v>623</v>
      </c>
      <c r="G9" s="192" t="s">
        <v>623</v>
      </c>
      <c r="H9" s="192" t="s">
        <v>623</v>
      </c>
      <c r="I9" s="191">
        <v>46302</v>
      </c>
      <c r="J9" s="191">
        <v>46300</v>
      </c>
      <c r="K9" s="192" t="s">
        <v>623</v>
      </c>
      <c r="L9" s="191"/>
      <c r="M9" s="196"/>
    </row>
    <row r="10" spans="1:13">
      <c r="A10" s="188"/>
      <c r="B10" s="189"/>
      <c r="C10" s="189"/>
      <c r="D10" s="190" t="s">
        <v>768</v>
      </c>
      <c r="E10" s="198" t="s">
        <v>623</v>
      </c>
      <c r="F10" s="199"/>
      <c r="G10" s="199"/>
      <c r="H10" s="200"/>
      <c r="I10" s="194"/>
      <c r="J10" s="194"/>
      <c r="K10" s="192" t="s">
        <v>623</v>
      </c>
      <c r="L10" s="201"/>
      <c r="M10" s="196"/>
    </row>
    <row r="11" spans="1:13">
      <c r="A11" s="188"/>
      <c r="B11" s="189" t="s">
        <v>771</v>
      </c>
      <c r="C11" s="189" t="s">
        <v>557</v>
      </c>
      <c r="D11" s="190" t="s">
        <v>755</v>
      </c>
      <c r="E11" s="192" t="s">
        <v>623</v>
      </c>
      <c r="F11" s="202">
        <v>46297</v>
      </c>
      <c r="G11" s="202">
        <v>46298</v>
      </c>
      <c r="H11" s="202">
        <v>46302</v>
      </c>
      <c r="I11" s="191">
        <v>46302</v>
      </c>
      <c r="J11" s="191">
        <v>46300</v>
      </c>
      <c r="K11" s="202">
        <v>46300</v>
      </c>
      <c r="L11" s="191">
        <v>46305</v>
      </c>
      <c r="M11" s="196"/>
    </row>
    <row r="12" spans="1:13">
      <c r="A12" s="188"/>
      <c r="B12" s="189"/>
      <c r="C12" s="189"/>
      <c r="D12" s="190" t="s">
        <v>768</v>
      </c>
      <c r="E12" s="203"/>
      <c r="F12" s="195"/>
      <c r="G12" s="195"/>
      <c r="H12" s="204"/>
      <c r="I12" s="203"/>
      <c r="J12" s="194"/>
      <c r="K12" s="195"/>
      <c r="L12" s="195"/>
      <c r="M12" s="196"/>
    </row>
    <row r="13" spans="1:13">
      <c r="A13" s="188"/>
      <c r="B13" s="189" t="s">
        <v>772</v>
      </c>
      <c r="C13" s="205" t="s">
        <v>557</v>
      </c>
      <c r="D13" s="190" t="s">
        <v>755</v>
      </c>
      <c r="E13" s="192" t="s">
        <v>623</v>
      </c>
      <c r="F13" s="202">
        <v>46297</v>
      </c>
      <c r="G13" s="192" t="s">
        <v>623</v>
      </c>
      <c r="H13" s="202">
        <v>46300</v>
      </c>
      <c r="I13" s="191">
        <v>46300</v>
      </c>
      <c r="J13" s="191">
        <v>46305</v>
      </c>
      <c r="K13" s="202">
        <v>46302</v>
      </c>
      <c r="L13" s="191">
        <v>46305</v>
      </c>
      <c r="M13" s="196"/>
    </row>
    <row r="14" spans="1:13">
      <c r="A14" s="188"/>
      <c r="B14" s="189"/>
      <c r="C14" s="206"/>
      <c r="D14" s="190" t="s">
        <v>768</v>
      </c>
      <c r="E14" s="198"/>
      <c r="F14" s="195"/>
      <c r="G14" s="201"/>
      <c r="H14" s="207"/>
      <c r="I14" s="194"/>
      <c r="J14" s="194"/>
      <c r="K14" s="195"/>
      <c r="L14" s="195"/>
      <c r="M14" s="196"/>
    </row>
    <row r="15" spans="1:13">
      <c r="A15" s="188"/>
      <c r="B15" s="189" t="s">
        <v>773</v>
      </c>
      <c r="C15" s="205" t="s">
        <v>557</v>
      </c>
      <c r="D15" s="190" t="s">
        <v>755</v>
      </c>
      <c r="E15" s="192" t="s">
        <v>623</v>
      </c>
      <c r="F15" s="192" t="s">
        <v>623</v>
      </c>
      <c r="G15" s="192" t="s">
        <v>623</v>
      </c>
      <c r="H15" s="202">
        <v>46298</v>
      </c>
      <c r="I15" s="192" t="s">
        <v>623</v>
      </c>
      <c r="J15" s="192" t="s">
        <v>623</v>
      </c>
      <c r="K15" s="192" t="s">
        <v>623</v>
      </c>
      <c r="L15" s="192" t="s">
        <v>623</v>
      </c>
      <c r="M15" s="196"/>
    </row>
    <row r="16" spans="1:13">
      <c r="A16" s="188"/>
      <c r="B16" s="189"/>
      <c r="C16" s="206"/>
      <c r="D16" s="190" t="s">
        <v>768</v>
      </c>
      <c r="E16" s="203"/>
      <c r="F16" s="199"/>
      <c r="G16" s="199"/>
      <c r="H16" s="204"/>
      <c r="I16" s="203"/>
      <c r="J16" s="203"/>
      <c r="K16" s="199"/>
      <c r="L16" s="199"/>
      <c r="M16" s="208"/>
    </row>
    <row r="18" ht="16.5" spans="12:13">
      <c r="L18" s="204"/>
      <c r="M18" s="209" t="s">
        <v>774</v>
      </c>
    </row>
    <row r="19" ht="16.5" spans="12:13">
      <c r="L19" s="195"/>
      <c r="M19" s="209" t="s">
        <v>775</v>
      </c>
    </row>
  </sheetData>
  <mergeCells count="20">
    <mergeCell ref="E3:M3"/>
    <mergeCell ref="A3:A4"/>
    <mergeCell ref="A5:A16"/>
    <mergeCell ref="B3:B4"/>
    <mergeCell ref="B5:B6"/>
    <mergeCell ref="B7:B8"/>
    <mergeCell ref="B9:B10"/>
    <mergeCell ref="B11:B12"/>
    <mergeCell ref="B13:B14"/>
    <mergeCell ref="B15:B16"/>
    <mergeCell ref="C3:C4"/>
    <mergeCell ref="C5:C6"/>
    <mergeCell ref="C7:C8"/>
    <mergeCell ref="C9:C10"/>
    <mergeCell ref="C11:C12"/>
    <mergeCell ref="C13:C14"/>
    <mergeCell ref="C15:C16"/>
    <mergeCell ref="D3:D4"/>
    <mergeCell ref="M5:M16"/>
    <mergeCell ref="A1:D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tabSelected="1" topLeftCell="A26" workbookViewId="0">
      <selection activeCell="K8" sqref="K8:K20"/>
    </sheetView>
  </sheetViews>
  <sheetFormatPr defaultColWidth="9.28571428571429" defaultRowHeight="14.25"/>
  <cols>
    <col min="1" max="1" width="6.28571428571429" style="24" customWidth="1"/>
    <col min="2" max="2" width="13.1428571428571" style="24" customWidth="1"/>
    <col min="3" max="3" width="6.71428571428571" style="24" customWidth="1"/>
    <col min="4" max="4" width="8.42857142857143" style="24" customWidth="1"/>
    <col min="5" max="5" width="30.4285714285714" style="24" customWidth="1"/>
    <col min="6" max="6" width="33.5714285714286" style="24" customWidth="1"/>
    <col min="7" max="7" width="8.57142857142857" style="24" customWidth="1"/>
    <col min="8" max="8" width="8.42857142857143" style="24" customWidth="1"/>
    <col min="9" max="9" width="13.4285714285714" style="24" customWidth="1"/>
    <col min="10" max="10" width="37.5714285714286" style="24" customWidth="1"/>
    <col min="11" max="11" width="17.1428571428571" style="24" customWidth="1"/>
    <col min="12" max="12" width="21.7142857142857" style="24" customWidth="1"/>
    <col min="13" max="13" width="24" style="24" customWidth="1"/>
    <col min="14" max="14" width="27.8571428571429" style="24" customWidth="1"/>
    <col min="15" max="15" width="26" style="25" customWidth="1"/>
    <col min="16" max="16" width="19" style="25" customWidth="1"/>
    <col min="17" max="16384" width="9.28571428571429" style="25"/>
  </cols>
  <sheetData>
    <row r="1" ht="13.5" customHeight="1"/>
    <row r="2" ht="15" hidden="1"/>
    <row r="3" ht="35.25" customHeight="1" spans="1:16">
      <c r="A3" s="26" t="s">
        <v>0</v>
      </c>
      <c r="B3" s="27" t="s">
        <v>276</v>
      </c>
      <c r="C3" s="27"/>
      <c r="D3" s="27"/>
      <c r="E3" s="27" t="s">
        <v>277</v>
      </c>
      <c r="F3" s="27" t="s">
        <v>278</v>
      </c>
      <c r="G3" s="28" t="s">
        <v>546</v>
      </c>
      <c r="H3" s="29" t="s">
        <v>547</v>
      </c>
      <c r="I3" s="30" t="s">
        <v>776</v>
      </c>
      <c r="J3" s="31" t="s">
        <v>549</v>
      </c>
      <c r="K3" s="28" t="s">
        <v>550</v>
      </c>
      <c r="L3" s="28" t="s">
        <v>777</v>
      </c>
      <c r="M3" s="32" t="s">
        <v>552</v>
      </c>
      <c r="N3" s="32" t="s">
        <v>553</v>
      </c>
      <c r="O3" s="33" t="s">
        <v>279</v>
      </c>
    </row>
    <row r="4" ht="56.25" customHeight="1" spans="1:16">
      <c r="A4" s="34">
        <f t="shared" ref="A4:A21" si="0">ROW()-3</f>
        <v>1</v>
      </c>
      <c r="B4" s="35" t="s">
        <v>280</v>
      </c>
      <c r="C4" s="34" t="s">
        <v>281</v>
      </c>
      <c r="D4" s="36" t="s">
        <v>96</v>
      </c>
      <c r="E4" s="37" t="s">
        <v>282</v>
      </c>
      <c r="F4" s="38" t="s">
        <v>283</v>
      </c>
      <c r="G4" s="39" t="s">
        <v>546</v>
      </c>
      <c r="H4" s="39" t="s">
        <v>557</v>
      </c>
      <c r="I4" s="40"/>
      <c r="J4" s="41" t="s">
        <v>778</v>
      </c>
      <c r="K4" s="42" t="s">
        <v>779</v>
      </c>
      <c r="L4" s="43" t="s">
        <v>284</v>
      </c>
      <c r="M4" s="44" t="s">
        <v>780</v>
      </c>
      <c r="N4" s="44" t="s">
        <v>781</v>
      </c>
      <c r="O4" s="45" t="s">
        <v>286</v>
      </c>
      <c r="P4" s="46" t="s">
        <v>287</v>
      </c>
    </row>
    <row r="5" ht="58.5" customHeight="1" spans="1:16">
      <c r="A5" s="47">
        <f t="shared" si="0"/>
        <v>2</v>
      </c>
      <c r="B5" s="48"/>
      <c r="C5" s="34" t="s">
        <v>289</v>
      </c>
      <c r="D5" s="49" t="s">
        <v>9</v>
      </c>
      <c r="E5" s="50" t="s">
        <v>782</v>
      </c>
      <c r="F5" s="50" t="s">
        <v>291</v>
      </c>
      <c r="G5" s="51"/>
      <c r="H5" s="51" t="s">
        <v>564</v>
      </c>
      <c r="I5" s="52">
        <v>46309</v>
      </c>
      <c r="J5" s="44" t="s">
        <v>783</v>
      </c>
      <c r="K5" s="53"/>
      <c r="L5" s="54" t="s">
        <v>292</v>
      </c>
      <c r="M5" s="55" t="s">
        <v>784</v>
      </c>
      <c r="N5" s="56" t="s">
        <v>785</v>
      </c>
      <c r="O5" s="57"/>
      <c r="P5" s="58"/>
    </row>
    <row r="6" ht="45" customHeight="1" spans="1:16">
      <c r="A6" s="47">
        <f t="shared" si="0"/>
        <v>3</v>
      </c>
      <c r="B6" s="48"/>
      <c r="C6" s="34" t="s">
        <v>295</v>
      </c>
      <c r="D6" s="49" t="s">
        <v>9</v>
      </c>
      <c r="E6" s="50" t="s">
        <v>786</v>
      </c>
      <c r="F6" s="50" t="s">
        <v>297</v>
      </c>
      <c r="G6" s="59" t="s">
        <v>546</v>
      </c>
      <c r="H6" s="60" t="s">
        <v>557</v>
      </c>
      <c r="I6" s="52">
        <v>46309</v>
      </c>
      <c r="J6" s="61" t="s">
        <v>787</v>
      </c>
      <c r="K6" s="53"/>
      <c r="L6" s="62"/>
      <c r="M6" s="63" t="s">
        <v>788</v>
      </c>
      <c r="N6" s="64" t="s">
        <v>789</v>
      </c>
      <c r="O6" s="57"/>
      <c r="P6" s="58"/>
    </row>
    <row r="7" ht="32.25" customHeight="1" spans="1:16">
      <c r="A7" s="65">
        <f t="shared" si="0"/>
        <v>4</v>
      </c>
      <c r="B7" s="66"/>
      <c r="C7" s="34" t="s">
        <v>301</v>
      </c>
      <c r="D7" s="67" t="s">
        <v>96</v>
      </c>
      <c r="E7" s="68" t="s">
        <v>302</v>
      </c>
      <c r="F7" s="69" t="s">
        <v>303</v>
      </c>
      <c r="G7" s="70" t="s">
        <v>546</v>
      </c>
      <c r="H7" s="70" t="s">
        <v>557</v>
      </c>
      <c r="I7" s="61"/>
      <c r="J7" s="71" t="s">
        <v>790</v>
      </c>
      <c r="K7" s="72"/>
      <c r="L7" s="73" t="s">
        <v>304</v>
      </c>
      <c r="M7" s="63" t="s">
        <v>791</v>
      </c>
      <c r="N7" s="63" t="s">
        <v>792</v>
      </c>
      <c r="O7" s="74"/>
      <c r="P7" s="75"/>
    </row>
    <row r="8" ht="99" customHeight="1" spans="1:16">
      <c r="A8" s="76">
        <f t="shared" si="0"/>
        <v>5</v>
      </c>
      <c r="B8" s="77" t="s">
        <v>306</v>
      </c>
      <c r="C8" s="34" t="s">
        <v>307</v>
      </c>
      <c r="D8" s="36" t="s">
        <v>96</v>
      </c>
      <c r="E8" s="37" t="s">
        <v>308</v>
      </c>
      <c r="F8" s="78" t="s">
        <v>309</v>
      </c>
      <c r="G8" s="39" t="s">
        <v>546</v>
      </c>
      <c r="H8" s="39" t="s">
        <v>557</v>
      </c>
      <c r="I8" s="61"/>
      <c r="J8" s="71" t="s">
        <v>793</v>
      </c>
      <c r="K8" s="42" t="s">
        <v>794</v>
      </c>
      <c r="L8" s="43" t="s">
        <v>310</v>
      </c>
      <c r="M8" s="63" t="s">
        <v>795</v>
      </c>
      <c r="N8" s="63" t="s">
        <v>796</v>
      </c>
      <c r="O8" s="45" t="s">
        <v>312</v>
      </c>
      <c r="P8" s="79" t="s">
        <v>313</v>
      </c>
    </row>
    <row r="9" ht="59.25" customHeight="1" spans="1:16">
      <c r="A9" s="80">
        <f t="shared" si="0"/>
        <v>6</v>
      </c>
      <c r="B9" s="81"/>
      <c r="C9" s="34" t="s">
        <v>315</v>
      </c>
      <c r="D9" s="49" t="s">
        <v>9</v>
      </c>
      <c r="E9" s="50" t="s">
        <v>797</v>
      </c>
      <c r="F9" s="82" t="s">
        <v>317</v>
      </c>
      <c r="G9" s="59" t="s">
        <v>546</v>
      </c>
      <c r="H9" s="60" t="s">
        <v>557</v>
      </c>
      <c r="I9" s="61"/>
      <c r="J9" s="71" t="s">
        <v>798</v>
      </c>
      <c r="K9" s="83"/>
      <c r="L9" s="84" t="s">
        <v>318</v>
      </c>
      <c r="M9" s="63" t="s">
        <v>799</v>
      </c>
      <c r="N9" s="63" t="s">
        <v>800</v>
      </c>
      <c r="O9" s="57"/>
      <c r="P9" s="85"/>
    </row>
    <row r="10" ht="41.25" customHeight="1" spans="1:16">
      <c r="A10" s="80">
        <f t="shared" si="0"/>
        <v>7</v>
      </c>
      <c r="B10" s="81"/>
      <c r="C10" s="34" t="s">
        <v>321</v>
      </c>
      <c r="D10" s="49" t="s">
        <v>9</v>
      </c>
      <c r="E10" s="50" t="s">
        <v>801</v>
      </c>
      <c r="F10" s="82" t="s">
        <v>323</v>
      </c>
      <c r="G10" s="59"/>
      <c r="H10" s="59" t="s">
        <v>564</v>
      </c>
      <c r="I10" s="61"/>
      <c r="J10" s="61" t="s">
        <v>802</v>
      </c>
      <c r="K10" s="83"/>
      <c r="L10" s="86"/>
      <c r="M10" s="63" t="s">
        <v>803</v>
      </c>
      <c r="N10" s="63" t="s">
        <v>804</v>
      </c>
      <c r="O10" s="57"/>
      <c r="P10" s="85"/>
    </row>
    <row r="11" ht="37.5" customHeight="1" spans="1:16">
      <c r="A11" s="80">
        <f t="shared" si="0"/>
        <v>8</v>
      </c>
      <c r="B11" s="81"/>
      <c r="C11" s="34" t="s">
        <v>326</v>
      </c>
      <c r="D11" s="49" t="s">
        <v>9</v>
      </c>
      <c r="E11" s="87" t="s">
        <v>327</v>
      </c>
      <c r="F11" s="82" t="s">
        <v>328</v>
      </c>
      <c r="G11" s="51"/>
      <c r="H11" s="88" t="s">
        <v>564</v>
      </c>
      <c r="I11" s="89"/>
      <c r="J11" s="89" t="s">
        <v>802</v>
      </c>
      <c r="K11" s="83"/>
      <c r="L11" s="86"/>
      <c r="M11" s="63" t="s">
        <v>803</v>
      </c>
      <c r="N11" s="63" t="s">
        <v>805</v>
      </c>
      <c r="O11" s="57"/>
      <c r="P11" s="85"/>
    </row>
    <row r="12" ht="71.25" customHeight="1" spans="1:16">
      <c r="A12" s="80">
        <f t="shared" si="0"/>
        <v>9</v>
      </c>
      <c r="B12" s="81"/>
      <c r="C12" s="34" t="s">
        <v>331</v>
      </c>
      <c r="D12" s="49" t="s">
        <v>9</v>
      </c>
      <c r="E12" s="87" t="s">
        <v>332</v>
      </c>
      <c r="F12" s="82" t="s">
        <v>333</v>
      </c>
      <c r="G12" s="51"/>
      <c r="H12" s="51" t="s">
        <v>564</v>
      </c>
      <c r="I12" s="89"/>
      <c r="J12" s="89" t="s">
        <v>802</v>
      </c>
      <c r="K12" s="83"/>
      <c r="L12" s="90"/>
      <c r="M12" s="63" t="s">
        <v>806</v>
      </c>
      <c r="N12" s="63" t="s">
        <v>807</v>
      </c>
      <c r="O12" s="57"/>
      <c r="P12" s="85"/>
    </row>
    <row r="13" ht="62.25" customHeight="1" spans="1:16">
      <c r="A13" s="80">
        <f t="shared" si="0"/>
        <v>10</v>
      </c>
      <c r="B13" s="81"/>
      <c r="C13" s="34" t="s">
        <v>336</v>
      </c>
      <c r="D13" s="49" t="s">
        <v>96</v>
      </c>
      <c r="E13" s="87" t="s">
        <v>337</v>
      </c>
      <c r="F13" s="82" t="s">
        <v>338</v>
      </c>
      <c r="G13" s="51"/>
      <c r="H13" s="51" t="s">
        <v>564</v>
      </c>
      <c r="I13" s="89"/>
      <c r="J13" s="44" t="s">
        <v>808</v>
      </c>
      <c r="K13" s="83"/>
      <c r="L13" s="91" t="s">
        <v>339</v>
      </c>
      <c r="M13" s="63" t="s">
        <v>809</v>
      </c>
      <c r="N13" s="63" t="s">
        <v>810</v>
      </c>
      <c r="O13" s="57"/>
      <c r="P13" s="85"/>
    </row>
    <row r="14" ht="43.5" customHeight="1" spans="1:16">
      <c r="A14" s="80">
        <f t="shared" si="0"/>
        <v>11</v>
      </c>
      <c r="B14" s="81"/>
      <c r="C14" s="34" t="s">
        <v>341</v>
      </c>
      <c r="D14" s="49" t="s">
        <v>96</v>
      </c>
      <c r="E14" s="50" t="s">
        <v>811</v>
      </c>
      <c r="F14" s="82" t="s">
        <v>343</v>
      </c>
      <c r="G14" s="59" t="s">
        <v>546</v>
      </c>
      <c r="H14" s="59" t="s">
        <v>557</v>
      </c>
      <c r="I14" s="61"/>
      <c r="J14" s="92" t="s">
        <v>812</v>
      </c>
      <c r="K14" s="83"/>
      <c r="L14" s="93" t="s">
        <v>344</v>
      </c>
      <c r="M14" s="94" t="s">
        <v>813</v>
      </c>
      <c r="N14" s="94" t="s">
        <v>814</v>
      </c>
      <c r="O14" s="57"/>
      <c r="P14" s="85"/>
    </row>
    <row r="15" ht="24.75" customHeight="1" spans="1:16">
      <c r="A15" s="80">
        <f t="shared" si="0"/>
        <v>12</v>
      </c>
      <c r="B15" s="81"/>
      <c r="C15" s="34" t="s">
        <v>346</v>
      </c>
      <c r="D15" s="49" t="s">
        <v>96</v>
      </c>
      <c r="E15" s="50" t="s">
        <v>815</v>
      </c>
      <c r="F15" s="82" t="s">
        <v>348</v>
      </c>
      <c r="G15" s="59"/>
      <c r="H15" s="59" t="s">
        <v>564</v>
      </c>
      <c r="I15" s="61"/>
      <c r="J15" s="61"/>
      <c r="K15" s="83"/>
      <c r="L15" s="93" t="s">
        <v>349</v>
      </c>
      <c r="M15" s="95" t="s">
        <v>623</v>
      </c>
      <c r="N15" s="95"/>
      <c r="O15" s="57"/>
      <c r="P15" s="85"/>
    </row>
    <row r="16" ht="34.5" spans="1:16">
      <c r="A16" s="80">
        <f t="shared" si="0"/>
        <v>13</v>
      </c>
      <c r="B16" s="81"/>
      <c r="C16" s="34" t="s">
        <v>351</v>
      </c>
      <c r="D16" s="49" t="s">
        <v>96</v>
      </c>
      <c r="E16" s="87" t="s">
        <v>352</v>
      </c>
      <c r="F16" s="50" t="s">
        <v>353</v>
      </c>
      <c r="G16" s="59" t="s">
        <v>546</v>
      </c>
      <c r="H16" s="59" t="s">
        <v>557</v>
      </c>
      <c r="I16" s="61"/>
      <c r="J16" s="71" t="s">
        <v>816</v>
      </c>
      <c r="K16" s="83"/>
      <c r="L16" s="96" t="s">
        <v>354</v>
      </c>
      <c r="M16" s="94" t="s">
        <v>817</v>
      </c>
      <c r="N16" s="94" t="s">
        <v>818</v>
      </c>
      <c r="O16" s="57"/>
      <c r="P16" s="85"/>
    </row>
    <row r="17" ht="23.25" spans="1:18">
      <c r="A17" s="80">
        <f t="shared" si="0"/>
        <v>14</v>
      </c>
      <c r="B17" s="81"/>
      <c r="C17" s="34" t="s">
        <v>356</v>
      </c>
      <c r="D17" s="49" t="s">
        <v>96</v>
      </c>
      <c r="E17" s="87" t="s">
        <v>357</v>
      </c>
      <c r="F17" s="50" t="s">
        <v>358</v>
      </c>
      <c r="G17" s="59"/>
      <c r="H17" s="59" t="s">
        <v>557</v>
      </c>
      <c r="I17" s="61"/>
      <c r="J17" s="61" t="s">
        <v>819</v>
      </c>
      <c r="K17" s="83"/>
      <c r="L17" s="97"/>
      <c r="M17" s="94" t="s">
        <v>820</v>
      </c>
      <c r="N17" s="94" t="s">
        <v>821</v>
      </c>
      <c r="O17" s="57"/>
      <c r="P17" s="85"/>
    </row>
    <row r="18" ht="34.5" spans="1:18">
      <c r="A18" s="80">
        <f t="shared" si="0"/>
        <v>15</v>
      </c>
      <c r="B18" s="81"/>
      <c r="C18" s="34" t="s">
        <v>360</v>
      </c>
      <c r="D18" s="49" t="s">
        <v>9</v>
      </c>
      <c r="E18" s="87" t="s">
        <v>361</v>
      </c>
      <c r="F18" s="50" t="s">
        <v>362</v>
      </c>
      <c r="G18" s="59" t="s">
        <v>546</v>
      </c>
      <c r="H18" s="59" t="s">
        <v>557</v>
      </c>
      <c r="I18" s="61"/>
      <c r="J18" s="61" t="s">
        <v>822</v>
      </c>
      <c r="K18" s="83"/>
      <c r="L18" s="93" t="s">
        <v>363</v>
      </c>
      <c r="M18" s="94" t="s">
        <v>823</v>
      </c>
      <c r="N18" s="94" t="s">
        <v>824</v>
      </c>
      <c r="O18" s="57"/>
      <c r="P18" s="85"/>
    </row>
    <row r="19" ht="30" customHeight="1" spans="1:18">
      <c r="A19" s="80">
        <f t="shared" si="0"/>
        <v>16</v>
      </c>
      <c r="B19" s="81"/>
      <c r="C19" s="34" t="s">
        <v>366</v>
      </c>
      <c r="D19" s="67" t="s">
        <v>9</v>
      </c>
      <c r="E19" s="98" t="s">
        <v>367</v>
      </c>
      <c r="F19" s="99" t="s">
        <v>368</v>
      </c>
      <c r="G19" s="100" t="s">
        <v>546</v>
      </c>
      <c r="H19" s="100" t="s">
        <v>557</v>
      </c>
      <c r="I19" s="61"/>
      <c r="J19" s="61" t="s">
        <v>825</v>
      </c>
      <c r="K19" s="83"/>
      <c r="L19" s="96" t="s">
        <v>68</v>
      </c>
      <c r="M19" s="95" t="s">
        <v>623</v>
      </c>
      <c r="N19" s="95"/>
      <c r="O19" s="74"/>
      <c r="P19" s="101"/>
    </row>
    <row r="20" ht="45.75" spans="1:18">
      <c r="A20" s="80">
        <f t="shared" si="0"/>
        <v>17</v>
      </c>
      <c r="B20" s="102"/>
      <c r="C20" s="76" t="s">
        <v>371</v>
      </c>
      <c r="D20" s="103" t="s">
        <v>9</v>
      </c>
      <c r="E20" s="104" t="s">
        <v>826</v>
      </c>
      <c r="F20" s="105" t="s">
        <v>373</v>
      </c>
      <c r="G20" s="106"/>
      <c r="H20" s="107"/>
      <c r="I20" s="89"/>
      <c r="J20" s="44" t="s">
        <v>827</v>
      </c>
      <c r="K20" s="83"/>
      <c r="L20" s="108"/>
      <c r="M20" s="94" t="s">
        <v>828</v>
      </c>
      <c r="N20" s="94" t="s">
        <v>829</v>
      </c>
      <c r="O20" s="45" t="s">
        <v>830</v>
      </c>
      <c r="P20" s="109" t="s">
        <v>831</v>
      </c>
    </row>
    <row r="21" ht="33.75" customHeight="1" spans="1:18">
      <c r="A21" s="110">
        <f t="shared" si="0"/>
        <v>18</v>
      </c>
      <c r="B21" s="111"/>
      <c r="C21" s="76" t="s">
        <v>376</v>
      </c>
      <c r="D21" s="103" t="s">
        <v>96</v>
      </c>
      <c r="E21" s="112" t="s">
        <v>377</v>
      </c>
      <c r="F21" s="69" t="s">
        <v>378</v>
      </c>
      <c r="G21" s="110"/>
      <c r="H21" s="113"/>
      <c r="I21" s="103"/>
      <c r="J21" s="103"/>
      <c r="K21" s="114" t="s">
        <v>832</v>
      </c>
      <c r="L21" s="115"/>
      <c r="M21" s="95" t="s">
        <v>623</v>
      </c>
      <c r="N21" s="95"/>
      <c r="O21" s="74"/>
      <c r="P21" s="116"/>
    </row>
    <row r="22" ht="18" spans="1:18">
      <c r="A22" s="117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9"/>
      <c r="M22" s="103"/>
      <c r="N22" s="103"/>
      <c r="O22" s="120"/>
    </row>
    <row r="23" ht="23.25" spans="1:18">
      <c r="A23" s="34">
        <f>ROW()-22</f>
        <v>1</v>
      </c>
      <c r="B23" s="35" t="s">
        <v>381</v>
      </c>
      <c r="C23" s="34" t="s">
        <v>382</v>
      </c>
      <c r="D23" s="36" t="s">
        <v>96</v>
      </c>
      <c r="E23" s="105" t="s">
        <v>833</v>
      </c>
      <c r="F23" s="105" t="s">
        <v>384</v>
      </c>
      <c r="G23" s="121" t="s">
        <v>546</v>
      </c>
      <c r="H23" s="43" t="s">
        <v>564</v>
      </c>
      <c r="I23" s="89"/>
      <c r="J23" s="122" t="s">
        <v>834</v>
      </c>
      <c r="K23" s="44" t="s">
        <v>835</v>
      </c>
      <c r="L23" s="123" t="s">
        <v>96</v>
      </c>
      <c r="M23" s="94" t="s">
        <v>836</v>
      </c>
      <c r="N23" s="94" t="s">
        <v>837</v>
      </c>
      <c r="O23" s="45" t="s">
        <v>838</v>
      </c>
      <c r="P23" s="79" t="s">
        <v>387</v>
      </c>
    </row>
    <row r="24" ht="23.25" spans="1:18">
      <c r="A24" s="47">
        <f t="shared" ref="A24:A44" si="1">ROW()-22</f>
        <v>2</v>
      </c>
      <c r="B24" s="48"/>
      <c r="C24" s="34" t="s">
        <v>388</v>
      </c>
      <c r="D24" s="49" t="s">
        <v>9</v>
      </c>
      <c r="E24" s="50" t="s">
        <v>839</v>
      </c>
      <c r="F24" s="50" t="s">
        <v>390</v>
      </c>
      <c r="G24" s="124" t="s">
        <v>546</v>
      </c>
      <c r="H24" s="91" t="s">
        <v>557</v>
      </c>
      <c r="I24" s="89"/>
      <c r="J24" s="122" t="s">
        <v>840</v>
      </c>
      <c r="K24" s="44"/>
      <c r="L24" s="96" t="s">
        <v>391</v>
      </c>
      <c r="M24" s="94" t="s">
        <v>841</v>
      </c>
      <c r="N24" s="94" t="s">
        <v>842</v>
      </c>
      <c r="O24" s="57"/>
      <c r="P24" s="85"/>
    </row>
    <row r="25" ht="34.5" spans="1:18">
      <c r="A25" s="47">
        <f t="shared" si="1"/>
        <v>3</v>
      </c>
      <c r="B25" s="48"/>
      <c r="C25" s="34" t="s">
        <v>394</v>
      </c>
      <c r="D25" s="49" t="s">
        <v>9</v>
      </c>
      <c r="E25" s="50" t="s">
        <v>843</v>
      </c>
      <c r="F25" s="50" t="s">
        <v>401</v>
      </c>
      <c r="G25" s="124" t="s">
        <v>546</v>
      </c>
      <c r="H25" s="91" t="s">
        <v>557</v>
      </c>
      <c r="I25" s="89"/>
      <c r="J25" s="122" t="s">
        <v>844</v>
      </c>
      <c r="K25" s="44"/>
      <c r="L25" s="97"/>
      <c r="M25" s="94" t="s">
        <v>845</v>
      </c>
      <c r="N25" s="94" t="s">
        <v>846</v>
      </c>
      <c r="O25" s="57"/>
      <c r="P25" s="85"/>
    </row>
    <row r="26" ht="32.25" customHeight="1" spans="1:18">
      <c r="A26" s="125"/>
      <c r="B26" s="48"/>
      <c r="C26" s="34" t="s">
        <v>399</v>
      </c>
      <c r="D26" s="49" t="s">
        <v>9</v>
      </c>
      <c r="E26" s="50" t="s">
        <v>847</v>
      </c>
      <c r="F26" s="126" t="s">
        <v>396</v>
      </c>
      <c r="G26" s="124"/>
      <c r="H26" s="91" t="s">
        <v>564</v>
      </c>
      <c r="I26" s="89"/>
      <c r="J26" s="122" t="s">
        <v>848</v>
      </c>
      <c r="K26" s="44"/>
      <c r="L26" s="119" t="s">
        <v>849</v>
      </c>
      <c r="M26" s="94" t="s">
        <v>803</v>
      </c>
      <c r="N26" s="94" t="s">
        <v>850</v>
      </c>
      <c r="O26" s="57"/>
      <c r="P26" s="85"/>
    </row>
    <row r="27" ht="23.25" spans="1:18">
      <c r="A27" s="65">
        <f t="shared" si="1"/>
        <v>5</v>
      </c>
      <c r="B27" s="66"/>
      <c r="C27" s="34" t="s">
        <v>404</v>
      </c>
      <c r="D27" s="49" t="s">
        <v>9</v>
      </c>
      <c r="E27" s="69" t="s">
        <v>851</v>
      </c>
      <c r="F27" s="127" t="s">
        <v>406</v>
      </c>
      <c r="G27" s="128" t="s">
        <v>546</v>
      </c>
      <c r="H27" s="73" t="s">
        <v>557</v>
      </c>
      <c r="I27" s="89"/>
      <c r="J27" s="122" t="s">
        <v>852</v>
      </c>
      <c r="K27" s="44"/>
      <c r="L27" s="129" t="s">
        <v>68</v>
      </c>
      <c r="M27" s="95" t="s">
        <v>853</v>
      </c>
      <c r="N27" s="94" t="s">
        <v>854</v>
      </c>
      <c r="O27" s="57"/>
      <c r="P27" s="85"/>
    </row>
    <row r="28" ht="23.25" spans="1:18">
      <c r="A28" s="130">
        <f t="shared" si="1"/>
        <v>6</v>
      </c>
      <c r="B28" s="48" t="s">
        <v>409</v>
      </c>
      <c r="C28" s="131" t="s">
        <v>410</v>
      </c>
      <c r="D28" s="49" t="s">
        <v>9</v>
      </c>
      <c r="E28" s="132" t="s">
        <v>855</v>
      </c>
      <c r="F28" s="132" t="s">
        <v>412</v>
      </c>
      <c r="G28" s="88" t="s">
        <v>546</v>
      </c>
      <c r="H28" s="88" t="s">
        <v>557</v>
      </c>
      <c r="I28" s="89"/>
      <c r="J28" s="122" t="s">
        <v>856</v>
      </c>
      <c r="K28" s="133" t="s">
        <v>857</v>
      </c>
      <c r="L28" s="134" t="s">
        <v>310</v>
      </c>
      <c r="M28" s="63" t="s">
        <v>858</v>
      </c>
      <c r="N28" s="63" t="s">
        <v>859</v>
      </c>
      <c r="O28" s="45" t="s">
        <v>860</v>
      </c>
      <c r="P28" s="79" t="s">
        <v>861</v>
      </c>
    </row>
    <row r="29" ht="23.25" spans="1:18">
      <c r="A29" s="47">
        <f t="shared" si="1"/>
        <v>7</v>
      </c>
      <c r="B29" s="48"/>
      <c r="C29" s="34" t="s">
        <v>417</v>
      </c>
      <c r="D29" s="49"/>
      <c r="E29" s="50" t="s">
        <v>862</v>
      </c>
      <c r="F29" s="50" t="s">
        <v>419</v>
      </c>
      <c r="G29" s="51" t="s">
        <v>546</v>
      </c>
      <c r="H29" s="51" t="s">
        <v>557</v>
      </c>
      <c r="I29" s="89"/>
      <c r="J29" s="122" t="s">
        <v>863</v>
      </c>
      <c r="K29" s="135"/>
      <c r="L29" s="134"/>
      <c r="M29" s="63" t="s">
        <v>864</v>
      </c>
      <c r="N29" s="63" t="s">
        <v>865</v>
      </c>
      <c r="O29" s="57"/>
      <c r="P29" s="85"/>
    </row>
    <row r="30" ht="37.5" customHeight="1" spans="1:18">
      <c r="A30" s="47">
        <f t="shared" si="1"/>
        <v>8</v>
      </c>
      <c r="B30" s="48"/>
      <c r="C30" s="34" t="s">
        <v>422</v>
      </c>
      <c r="D30" s="49"/>
      <c r="E30" s="50" t="s">
        <v>866</v>
      </c>
      <c r="F30" s="99" t="s">
        <v>424</v>
      </c>
      <c r="G30" s="136" t="s">
        <v>546</v>
      </c>
      <c r="H30" s="136" t="s">
        <v>557</v>
      </c>
      <c r="I30" s="89"/>
      <c r="J30" s="122" t="s">
        <v>867</v>
      </c>
      <c r="K30" s="135"/>
      <c r="L30" s="134"/>
      <c r="M30" s="55" t="s">
        <v>868</v>
      </c>
      <c r="N30" s="63" t="s">
        <v>869</v>
      </c>
      <c r="O30" s="57"/>
      <c r="P30" s="85"/>
      <c r="R30" s="137"/>
    </row>
    <row r="31" ht="23.25" spans="1:18">
      <c r="A31" s="47">
        <f t="shared" si="1"/>
        <v>9</v>
      </c>
      <c r="B31" s="48"/>
      <c r="C31" s="131" t="s">
        <v>427</v>
      </c>
      <c r="D31" s="97"/>
      <c r="E31" s="138" t="s">
        <v>870</v>
      </c>
      <c r="F31" s="139" t="s">
        <v>429</v>
      </c>
      <c r="G31" s="106" t="s">
        <v>546</v>
      </c>
      <c r="H31" s="106" t="s">
        <v>557</v>
      </c>
      <c r="I31" s="89"/>
      <c r="J31" s="122" t="s">
        <v>871</v>
      </c>
      <c r="K31" s="135"/>
      <c r="L31" s="140" t="s">
        <v>872</v>
      </c>
      <c r="M31" s="64" t="s">
        <v>873</v>
      </c>
      <c r="N31" s="63" t="s">
        <v>874</v>
      </c>
      <c r="O31" s="57"/>
      <c r="P31" s="85"/>
    </row>
    <row r="32" ht="47.25" customHeight="1" spans="1:18">
      <c r="A32" s="47">
        <f t="shared" si="1"/>
        <v>10</v>
      </c>
      <c r="B32" s="48"/>
      <c r="C32" s="34" t="s">
        <v>433</v>
      </c>
      <c r="D32" s="103" t="s">
        <v>96</v>
      </c>
      <c r="E32" s="138" t="s">
        <v>875</v>
      </c>
      <c r="F32" s="141" t="s">
        <v>435</v>
      </c>
      <c r="G32" s="51"/>
      <c r="H32" s="51"/>
      <c r="I32" s="89"/>
      <c r="J32" s="122" t="s">
        <v>876</v>
      </c>
      <c r="K32" s="135"/>
      <c r="L32" s="142"/>
      <c r="M32" s="64" t="s">
        <v>877</v>
      </c>
      <c r="N32" s="63" t="s">
        <v>878</v>
      </c>
      <c r="O32" s="57"/>
      <c r="P32" s="85"/>
    </row>
    <row r="33" ht="34.5" spans="1:16">
      <c r="A33" s="47">
        <f t="shared" si="1"/>
        <v>11</v>
      </c>
      <c r="B33" s="48"/>
      <c r="C33" s="143" t="s">
        <v>438</v>
      </c>
      <c r="D33" s="144"/>
      <c r="E33" s="145" t="s">
        <v>879</v>
      </c>
      <c r="F33" s="146" t="s">
        <v>440</v>
      </c>
      <c r="G33" s="147" t="s">
        <v>546</v>
      </c>
      <c r="H33" s="147" t="s">
        <v>557</v>
      </c>
      <c r="I33" s="148"/>
      <c r="J33" s="149" t="s">
        <v>880</v>
      </c>
      <c r="K33" s="135"/>
      <c r="L33" s="142"/>
      <c r="M33" s="64" t="s">
        <v>881</v>
      </c>
      <c r="N33" s="63" t="s">
        <v>882</v>
      </c>
      <c r="O33" s="57"/>
      <c r="P33" s="85"/>
    </row>
    <row r="34" ht="23.25" spans="1:16">
      <c r="A34" s="47">
        <f t="shared" si="1"/>
        <v>12</v>
      </c>
      <c r="B34" s="48"/>
      <c r="C34" s="34" t="s">
        <v>443</v>
      </c>
      <c r="D34" s="97"/>
      <c r="E34" s="138" t="s">
        <v>883</v>
      </c>
      <c r="F34" s="150" t="s">
        <v>445</v>
      </c>
      <c r="G34" s="151" t="s">
        <v>546</v>
      </c>
      <c r="H34" s="151" t="s">
        <v>557</v>
      </c>
      <c r="I34" s="89"/>
      <c r="J34" s="122" t="s">
        <v>884</v>
      </c>
      <c r="K34" s="135"/>
      <c r="L34" s="152"/>
      <c r="M34" s="64" t="s">
        <v>885</v>
      </c>
      <c r="N34" s="63" t="s">
        <v>886</v>
      </c>
      <c r="O34" s="57"/>
      <c r="P34" s="85"/>
    </row>
    <row r="35" ht="34.5" spans="1:16">
      <c r="A35" s="47">
        <f t="shared" si="1"/>
        <v>13</v>
      </c>
      <c r="B35" s="48"/>
      <c r="C35" s="34" t="s">
        <v>448</v>
      </c>
      <c r="D35" s="49"/>
      <c r="E35" s="50" t="s">
        <v>887</v>
      </c>
      <c r="F35" s="153" t="s">
        <v>450</v>
      </c>
      <c r="G35" s="134" t="s">
        <v>546</v>
      </c>
      <c r="H35" s="134" t="s">
        <v>557</v>
      </c>
      <c r="I35" s="89"/>
      <c r="J35" s="122" t="s">
        <v>888</v>
      </c>
      <c r="K35" s="135"/>
      <c r="L35" s="154" t="s">
        <v>451</v>
      </c>
      <c r="M35" s="64" t="s">
        <v>889</v>
      </c>
      <c r="N35" s="63" t="s">
        <v>890</v>
      </c>
      <c r="O35" s="57"/>
      <c r="P35" s="85"/>
    </row>
    <row r="36" ht="34.5" spans="1:16">
      <c r="A36" s="47">
        <f t="shared" si="1"/>
        <v>14</v>
      </c>
      <c r="B36" s="48"/>
      <c r="C36" s="34" t="s">
        <v>454</v>
      </c>
      <c r="D36" s="97"/>
      <c r="E36" s="138" t="s">
        <v>891</v>
      </c>
      <c r="F36" s="139" t="s">
        <v>456</v>
      </c>
      <c r="G36" s="106" t="s">
        <v>546</v>
      </c>
      <c r="H36" s="121" t="s">
        <v>557</v>
      </c>
      <c r="I36" s="134"/>
      <c r="J36" s="155" t="s">
        <v>892</v>
      </c>
      <c r="K36" s="135"/>
      <c r="L36" s="140" t="s">
        <v>893</v>
      </c>
      <c r="M36" s="64" t="s">
        <v>894</v>
      </c>
      <c r="N36" s="63" t="s">
        <v>895</v>
      </c>
      <c r="O36" s="57"/>
      <c r="P36" s="85"/>
    </row>
    <row r="37" ht="34.5" spans="1:16">
      <c r="A37" s="47">
        <f t="shared" si="1"/>
        <v>15</v>
      </c>
      <c r="B37" s="48"/>
      <c r="C37" s="34" t="s">
        <v>460</v>
      </c>
      <c r="D37" s="97"/>
      <c r="E37" s="138" t="s">
        <v>896</v>
      </c>
      <c r="F37" s="150" t="s">
        <v>462</v>
      </c>
      <c r="G37" s="151" t="s">
        <v>546</v>
      </c>
      <c r="H37" s="128" t="s">
        <v>557</v>
      </c>
      <c r="I37" s="156"/>
      <c r="J37" s="157" t="s">
        <v>897</v>
      </c>
      <c r="K37" s="135"/>
      <c r="L37" s="158"/>
      <c r="M37" s="64" t="s">
        <v>898</v>
      </c>
      <c r="N37" s="63" t="s">
        <v>899</v>
      </c>
      <c r="O37" s="57"/>
      <c r="P37" s="85"/>
    </row>
    <row r="38" ht="36.95" customHeight="1" spans="1:16">
      <c r="A38" s="47">
        <f t="shared" si="1"/>
        <v>16</v>
      </c>
      <c r="B38" s="48"/>
      <c r="C38" s="34" t="s">
        <v>465</v>
      </c>
      <c r="D38" s="97"/>
      <c r="E38" s="138" t="s">
        <v>900</v>
      </c>
      <c r="F38" s="139" t="s">
        <v>467</v>
      </c>
      <c r="G38" s="106"/>
      <c r="H38" s="121" t="s">
        <v>557</v>
      </c>
      <c r="I38" s="159"/>
      <c r="J38" s="160" t="s">
        <v>819</v>
      </c>
      <c r="K38" s="135"/>
      <c r="L38" s="140" t="s">
        <v>901</v>
      </c>
      <c r="M38" s="64" t="s">
        <v>853</v>
      </c>
      <c r="N38" s="63" t="s">
        <v>902</v>
      </c>
      <c r="O38" s="57"/>
      <c r="P38" s="85"/>
    </row>
    <row r="39" ht="23.25" spans="1:16">
      <c r="A39" s="47">
        <f t="shared" si="1"/>
        <v>17</v>
      </c>
      <c r="B39" s="48"/>
      <c r="C39" s="34" t="s">
        <v>471</v>
      </c>
      <c r="D39" s="97"/>
      <c r="E39" s="138" t="s">
        <v>903</v>
      </c>
      <c r="F39" s="161" t="s">
        <v>473</v>
      </c>
      <c r="G39" s="51"/>
      <c r="H39" s="124" t="s">
        <v>564</v>
      </c>
      <c r="I39" s="134"/>
      <c r="J39" s="162" t="s">
        <v>819</v>
      </c>
      <c r="K39" s="135"/>
      <c r="L39" s="154"/>
      <c r="M39" s="64" t="s">
        <v>904</v>
      </c>
      <c r="N39" s="63" t="s">
        <v>905</v>
      </c>
      <c r="O39" s="57"/>
      <c r="P39" s="85"/>
    </row>
    <row r="40" ht="33" customHeight="1" spans="1:16">
      <c r="A40" s="47">
        <f t="shared" si="1"/>
        <v>18</v>
      </c>
      <c r="B40" s="48"/>
      <c r="C40" s="34" t="s">
        <v>476</v>
      </c>
      <c r="D40" s="97"/>
      <c r="E40" s="138" t="s">
        <v>906</v>
      </c>
      <c r="F40" s="141" t="s">
        <v>478</v>
      </c>
      <c r="G40" s="51" t="s">
        <v>546</v>
      </c>
      <c r="H40" s="124" t="s">
        <v>557</v>
      </c>
      <c r="I40" s="134"/>
      <c r="J40" s="163" t="s">
        <v>907</v>
      </c>
      <c r="K40" s="135"/>
      <c r="L40" s="154"/>
      <c r="M40" s="64" t="s">
        <v>908</v>
      </c>
      <c r="N40" s="63" t="s">
        <v>909</v>
      </c>
      <c r="O40" s="57"/>
      <c r="P40" s="85"/>
    </row>
    <row r="41" ht="34.5" spans="1:16">
      <c r="A41" s="47">
        <f t="shared" si="1"/>
        <v>19</v>
      </c>
      <c r="B41" s="48"/>
      <c r="C41" s="34" t="s">
        <v>481</v>
      </c>
      <c r="D41" s="97"/>
      <c r="E41" s="138" t="s">
        <v>910</v>
      </c>
      <c r="F41" s="141" t="s">
        <v>483</v>
      </c>
      <c r="G41" s="51"/>
      <c r="H41" s="124" t="s">
        <v>557</v>
      </c>
      <c r="I41" s="134"/>
      <c r="J41" s="134" t="s">
        <v>911</v>
      </c>
      <c r="K41" s="135"/>
      <c r="L41" s="154"/>
      <c r="M41" s="64" t="s">
        <v>912</v>
      </c>
      <c r="N41" s="63" t="s">
        <v>913</v>
      </c>
      <c r="O41" s="57"/>
      <c r="P41" s="85"/>
    </row>
    <row r="42" ht="54.75" customHeight="1" spans="1:16">
      <c r="A42" s="47">
        <f t="shared" si="1"/>
        <v>20</v>
      </c>
      <c r="B42" s="48"/>
      <c r="C42" s="34" t="s">
        <v>486</v>
      </c>
      <c r="D42" s="97"/>
      <c r="E42" s="138" t="s">
        <v>914</v>
      </c>
      <c r="F42" s="150" t="s">
        <v>488</v>
      </c>
      <c r="G42" s="151" t="s">
        <v>546</v>
      </c>
      <c r="H42" s="128" t="s">
        <v>557</v>
      </c>
      <c r="I42" s="156"/>
      <c r="J42" s="156" t="s">
        <v>915</v>
      </c>
      <c r="K42" s="135"/>
      <c r="L42" s="158"/>
      <c r="M42" s="64" t="s">
        <v>916</v>
      </c>
      <c r="N42" s="63" t="s">
        <v>917</v>
      </c>
      <c r="O42" s="57"/>
      <c r="P42" s="85"/>
    </row>
    <row r="43" ht="33.75" spans="1:16">
      <c r="A43" s="47">
        <f t="shared" si="1"/>
        <v>21</v>
      </c>
      <c r="B43" s="48"/>
      <c r="C43" s="164" t="s">
        <v>491</v>
      </c>
      <c r="D43" s="67"/>
      <c r="E43" s="98" t="s">
        <v>918</v>
      </c>
      <c r="F43" s="132" t="s">
        <v>493</v>
      </c>
      <c r="G43" s="88" t="s">
        <v>546</v>
      </c>
      <c r="H43" s="165" t="s">
        <v>557</v>
      </c>
      <c r="I43" s="88"/>
      <c r="J43" s="166" t="s">
        <v>919</v>
      </c>
      <c r="K43" s="135"/>
      <c r="L43" s="167" t="s">
        <v>494</v>
      </c>
      <c r="M43" s="94" t="s">
        <v>920</v>
      </c>
      <c r="N43" s="63" t="s">
        <v>921</v>
      </c>
      <c r="O43" s="57"/>
      <c r="P43" s="85"/>
    </row>
    <row r="44" ht="15.75" customHeight="1" spans="1:16">
      <c r="A44" s="65">
        <f t="shared" si="1"/>
        <v>22</v>
      </c>
      <c r="B44" s="168"/>
      <c r="C44" s="103" t="s">
        <v>496</v>
      </c>
      <c r="D44" s="103"/>
      <c r="E44" s="50" t="s">
        <v>922</v>
      </c>
      <c r="F44" s="69" t="s">
        <v>368</v>
      </c>
      <c r="G44" s="151" t="s">
        <v>546</v>
      </c>
      <c r="H44" s="128" t="s">
        <v>557</v>
      </c>
      <c r="I44" s="151"/>
      <c r="J44" s="151" t="s">
        <v>923</v>
      </c>
      <c r="K44" s="169"/>
      <c r="L44" s="110" t="s">
        <v>68</v>
      </c>
      <c r="M44" s="95" t="s">
        <v>623</v>
      </c>
      <c r="N44" s="95"/>
      <c r="O44" s="74"/>
      <c r="P44" s="101"/>
    </row>
  </sheetData>
  <mergeCells count="27">
    <mergeCell ref="A22:L22"/>
    <mergeCell ref="B4:B7"/>
    <mergeCell ref="B8:B21"/>
    <mergeCell ref="B23:B27"/>
    <mergeCell ref="B28:B44"/>
    <mergeCell ref="K4:K7"/>
    <mergeCell ref="K8:K20"/>
    <mergeCell ref="K23:K27"/>
    <mergeCell ref="K28:K44"/>
    <mergeCell ref="L5:L6"/>
    <mergeCell ref="L9:L12"/>
    <mergeCell ref="L16:L17"/>
    <mergeCell ref="L24:L25"/>
    <mergeCell ref="L28:L30"/>
    <mergeCell ref="L31:L34"/>
    <mergeCell ref="L36:L37"/>
    <mergeCell ref="L38:L42"/>
    <mergeCell ref="O4:O7"/>
    <mergeCell ref="O8:O19"/>
    <mergeCell ref="O20:O21"/>
    <mergeCell ref="O23:O27"/>
    <mergeCell ref="O28:O44"/>
    <mergeCell ref="P4:P7"/>
    <mergeCell ref="P8:P19"/>
    <mergeCell ref="P20:P21"/>
    <mergeCell ref="P23:P27"/>
    <mergeCell ref="P28:P44"/>
  </mergeCells>
  <conditionalFormatting sqref="F9">
    <cfRule type="expression" dxfId="0" priority="43">
      <formula>#REF!&lt;&gt;""</formula>
    </cfRule>
  </conditionalFormatting>
  <conditionalFormatting sqref="F10">
    <cfRule type="expression" dxfId="0" priority="42">
      <formula>#REF!&lt;&gt;""</formula>
    </cfRule>
  </conditionalFormatting>
  <conditionalFormatting sqref="F11">
    <cfRule type="expression" dxfId="0" priority="41">
      <formula>#REF!&lt;&gt;""</formula>
    </cfRule>
  </conditionalFormatting>
  <conditionalFormatting sqref="F12">
    <cfRule type="expression" dxfId="0" priority="40">
      <formula>#REF!&lt;&gt;""</formula>
    </cfRule>
  </conditionalFormatting>
  <conditionalFormatting sqref="F23">
    <cfRule type="expression" dxfId="0" priority="36">
      <formula>#REF!&lt;&gt;""</formula>
    </cfRule>
  </conditionalFormatting>
  <conditionalFormatting sqref="G23:K23">
    <cfRule type="expression" dxfId="0" priority="4">
      <formula>#REF!&lt;&gt;""</formula>
    </cfRule>
  </conditionalFormatting>
  <conditionalFormatting sqref="F24">
    <cfRule type="expression" dxfId="0" priority="30">
      <formula>#REF!&lt;&gt;""</formula>
    </cfRule>
  </conditionalFormatting>
  <conditionalFormatting sqref="F25">
    <cfRule type="expression" dxfId="0" priority="28">
      <formula>#REF!&lt;&gt;""</formula>
    </cfRule>
  </conditionalFormatting>
  <conditionalFormatting sqref="F26">
    <cfRule type="expression" dxfId="0" priority="29">
      <formula>#REF!&lt;&gt;""</formula>
    </cfRule>
  </conditionalFormatting>
  <conditionalFormatting sqref="F27">
    <cfRule type="expression" dxfId="0" priority="27">
      <formula>#REF!&lt;&gt;""</formula>
    </cfRule>
  </conditionalFormatting>
  <conditionalFormatting sqref="G27:J27">
    <cfRule type="expression" dxfId="0" priority="33">
      <formula>#REF!&lt;&gt;""</formula>
    </cfRule>
  </conditionalFormatting>
  <conditionalFormatting sqref="F28">
    <cfRule type="expression" dxfId="0" priority="9">
      <formula>#REF!&lt;&gt;""</formula>
    </cfRule>
  </conditionalFormatting>
  <conditionalFormatting sqref="G28:K28">
    <cfRule type="expression" dxfId="0" priority="3">
      <formula>#REF!&lt;&gt;""</formula>
    </cfRule>
  </conditionalFormatting>
  <conditionalFormatting sqref="F29">
    <cfRule type="expression" dxfId="0" priority="26">
      <formula>#REF!&lt;&gt;""</formula>
    </cfRule>
  </conditionalFormatting>
  <conditionalFormatting sqref="G29:J29">
    <cfRule type="expression" dxfId="0" priority="2">
      <formula>#REF!&lt;&gt;""</formula>
    </cfRule>
  </conditionalFormatting>
  <conditionalFormatting sqref="F30">
    <cfRule type="expression" dxfId="0" priority="25">
      <formula>#REF!&lt;&gt;""</formula>
    </cfRule>
  </conditionalFormatting>
  <conditionalFormatting sqref="G30:J30">
    <cfRule type="expression" dxfId="0" priority="1">
      <formula>#REF!&lt;&gt;""</formula>
    </cfRule>
  </conditionalFormatting>
  <conditionalFormatting sqref="F31">
    <cfRule type="expression" dxfId="0" priority="24">
      <formula>#REF!&lt;&gt;""</formula>
    </cfRule>
  </conditionalFormatting>
  <conditionalFormatting sqref="F32">
    <cfRule type="expression" dxfId="0" priority="23">
      <formula>#REF!&lt;&gt;""</formula>
    </cfRule>
  </conditionalFormatting>
  <conditionalFormatting sqref="F33">
    <cfRule type="expression" dxfId="0" priority="22">
      <formula>#REF!&lt;&gt;""</formula>
    </cfRule>
  </conditionalFormatting>
  <conditionalFormatting sqref="F36">
    <cfRule type="expression" dxfId="0" priority="20">
      <formula>#REF!&lt;&gt;""</formula>
    </cfRule>
  </conditionalFormatting>
  <conditionalFormatting sqref="F37">
    <cfRule type="expression" dxfId="0" priority="19">
      <formula>#REF!&lt;&gt;""</formula>
    </cfRule>
  </conditionalFormatting>
  <conditionalFormatting sqref="F38">
    <cfRule type="expression" dxfId="0" priority="18">
      <formula>#REF!&lt;&gt;""</formula>
    </cfRule>
  </conditionalFormatting>
  <conditionalFormatting sqref="F39">
    <cfRule type="expression" dxfId="0" priority="17">
      <formula>#REF!&lt;&gt;""</formula>
    </cfRule>
  </conditionalFormatting>
  <conditionalFormatting sqref="F40">
    <cfRule type="expression" dxfId="0" priority="16">
      <formula>#REF!&lt;&gt;""</formula>
    </cfRule>
  </conditionalFormatting>
  <conditionalFormatting sqref="F41">
    <cfRule type="expression" dxfId="0" priority="15">
      <formula>#REF!&lt;&gt;""</formula>
    </cfRule>
  </conditionalFormatting>
  <conditionalFormatting sqref="F42">
    <cfRule type="expression" dxfId="0" priority="14">
      <formula>#REF!&lt;&gt;""</formula>
    </cfRule>
  </conditionalFormatting>
  <conditionalFormatting sqref="F43">
    <cfRule type="expression" dxfId="0" priority="13">
      <formula>#REF!&lt;&gt;""</formula>
    </cfRule>
  </conditionalFormatting>
  <conditionalFormatting sqref="F44">
    <cfRule type="expression" dxfId="0" priority="12">
      <formula>#REF!&lt;&gt;""</formula>
    </cfRule>
  </conditionalFormatting>
  <conditionalFormatting sqref="E4:E21">
    <cfRule type="expression" dxfId="0" priority="37">
      <formula>#REF!&lt;&gt;""</formula>
    </cfRule>
  </conditionalFormatting>
  <conditionalFormatting sqref="E27:E44">
    <cfRule type="expression" dxfId="0" priority="11">
      <formula>#REF!&lt;&gt;""</formula>
    </cfRule>
  </conditionalFormatting>
  <conditionalFormatting sqref="F4:F7">
    <cfRule type="expression" dxfId="0" priority="52">
      <formula>#REF!&lt;&gt;""</formula>
    </cfRule>
  </conditionalFormatting>
  <conditionalFormatting sqref="F13:F21">
    <cfRule type="expression" dxfId="0" priority="39">
      <formula>#REF!&lt;&gt;""</formula>
    </cfRule>
  </conditionalFormatting>
  <conditionalFormatting sqref="F34:F35">
    <cfRule type="expression" dxfId="0" priority="21">
      <formula>#REF!&lt;&gt;""</formula>
    </cfRule>
  </conditionalFormatting>
  <conditionalFormatting sqref="G5:J5 G11:J13 G20:J21">
    <cfRule type="expression" dxfId="0" priority="50">
      <formula>#REF!&lt;&gt;""</formula>
    </cfRule>
  </conditionalFormatting>
  <conditionalFormatting sqref="F8 E23:E26 G24:J26">
    <cfRule type="expression" dxfId="0" priority="44">
      <formula>#REF!&lt;&gt;""</formula>
    </cfRule>
  </conditionalFormatting>
  <conditionalFormatting sqref="G31:J44">
    <cfRule type="expression" dxfId="0" priority="10">
      <formula>#REF!&lt;&gt;""</formula>
    </cfRule>
  </conditionalFormatting>
  <pageMargins left="0.7" right="0.7" top="0.75" bottom="0.75" header="0.3" footer="0.3"/>
  <pageSetup paperSize="1" orientation="portrait" horizontalDpi="300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opLeftCell="C1" workbookViewId="0">
      <selection activeCell="C6" sqref="C6"/>
    </sheetView>
  </sheetViews>
  <sheetFormatPr defaultColWidth="9" defaultRowHeight="17.25"/>
  <cols>
    <col min="1" max="1" width="13" style="2" customWidth="1"/>
    <col min="2" max="2" width="31.8571428571429" style="2" customWidth="1"/>
    <col min="3" max="3" width="32.4285714285714" style="2" customWidth="1"/>
    <col min="4" max="4" width="35.7142857142857" style="2" customWidth="1"/>
    <col min="5" max="5" width="34.8571428571429" style="2" customWidth="1"/>
    <col min="6" max="6" width="33.4285714285714" style="2" customWidth="1"/>
    <col min="7" max="7" width="36" style="2" customWidth="1"/>
    <col min="8" max="8" width="29.1428571428571" style="2" customWidth="1"/>
    <col min="9" max="9" width="32.4285714285714" style="2" customWidth="1"/>
    <col min="10" max="26" width="9" style="2"/>
    <col min="27" max="16384" width="9" style="16"/>
  </cols>
  <sheetData>
    <row r="1" spans="1:9">
      <c r="A1" s="17" t="s">
        <v>924</v>
      </c>
      <c r="B1" s="17"/>
      <c r="C1" s="17"/>
      <c r="D1" s="17"/>
      <c r="E1" s="17"/>
      <c r="F1" s="18" t="s">
        <v>925</v>
      </c>
      <c r="G1" s="19"/>
      <c r="H1" s="20" t="s">
        <v>926</v>
      </c>
      <c r="I1" s="19"/>
    </row>
    <row r="2" spans="1:9">
      <c r="A2" s="21" t="s">
        <v>927</v>
      </c>
      <c r="B2" s="21" t="s">
        <v>928</v>
      </c>
      <c r="C2" s="21" t="s">
        <v>929</v>
      </c>
      <c r="D2" s="21" t="s">
        <v>930</v>
      </c>
      <c r="E2" s="21" t="s">
        <v>931</v>
      </c>
      <c r="F2" s="21" t="s">
        <v>932</v>
      </c>
      <c r="G2" s="21" t="s">
        <v>933</v>
      </c>
      <c r="H2" s="21" t="s">
        <v>934</v>
      </c>
      <c r="I2" s="21" t="s">
        <v>935</v>
      </c>
    </row>
    <row r="3" spans="1:9">
      <c r="A3" s="21" t="s">
        <v>936</v>
      </c>
      <c r="B3" s="17" t="s">
        <v>937</v>
      </c>
      <c r="C3" s="17" t="s">
        <v>938</v>
      </c>
      <c r="D3" s="17" t="s">
        <v>939</v>
      </c>
      <c r="E3" s="17" t="s">
        <v>940</v>
      </c>
      <c r="F3" s="17" t="s">
        <v>941</v>
      </c>
      <c r="G3" s="17">
        <v>0</v>
      </c>
      <c r="H3" s="21" t="s">
        <v>942</v>
      </c>
      <c r="I3" s="21" t="s">
        <v>943</v>
      </c>
    </row>
    <row r="4" ht="69" spans="1:9">
      <c r="A4" s="21" t="s">
        <v>944</v>
      </c>
      <c r="B4" s="22" t="s">
        <v>945</v>
      </c>
      <c r="C4" s="22" t="s">
        <v>946</v>
      </c>
      <c r="D4" s="22" t="s">
        <v>947</v>
      </c>
      <c r="E4" s="22" t="s">
        <v>948</v>
      </c>
      <c r="F4" s="22" t="s">
        <v>949</v>
      </c>
      <c r="G4" s="22" t="s">
        <v>950</v>
      </c>
      <c r="H4" s="22" t="s">
        <v>951</v>
      </c>
      <c r="I4" s="22" t="s">
        <v>952</v>
      </c>
    </row>
    <row r="5" spans="1:9">
      <c r="A5" s="21">
        <v>1</v>
      </c>
      <c r="B5" s="23" t="s">
        <v>953</v>
      </c>
      <c r="C5" s="23" t="s">
        <v>954</v>
      </c>
      <c r="D5" s="23" t="s">
        <v>955</v>
      </c>
      <c r="E5" s="23" t="s">
        <v>956</v>
      </c>
      <c r="F5" s="23" t="s">
        <v>957</v>
      </c>
      <c r="G5" s="23" t="s">
        <v>958</v>
      </c>
      <c r="H5" s="23" t="s">
        <v>959</v>
      </c>
      <c r="I5" s="23" t="s">
        <v>960</v>
      </c>
    </row>
    <row r="6" spans="1:9">
      <c r="A6" s="21">
        <v>2</v>
      </c>
      <c r="B6" s="21" t="s">
        <v>961</v>
      </c>
      <c r="C6" s="21" t="s">
        <v>962</v>
      </c>
      <c r="D6" s="21" t="s">
        <v>963</v>
      </c>
      <c r="E6" s="21" t="s">
        <v>964</v>
      </c>
      <c r="F6" s="21" t="s">
        <v>965</v>
      </c>
      <c r="G6" s="21" t="s">
        <v>966</v>
      </c>
      <c r="H6" s="21" t="s">
        <v>967</v>
      </c>
      <c r="I6" s="21" t="s">
        <v>968</v>
      </c>
    </row>
    <row r="7" spans="1:9">
      <c r="A7" s="21">
        <v>3</v>
      </c>
      <c r="B7" s="21" t="s">
        <v>969</v>
      </c>
      <c r="C7" s="21" t="s">
        <v>970</v>
      </c>
      <c r="D7" s="21" t="s">
        <v>971</v>
      </c>
      <c r="E7" s="21" t="s">
        <v>972</v>
      </c>
      <c r="F7" s="21" t="s">
        <v>973</v>
      </c>
      <c r="G7" s="21" t="s">
        <v>974</v>
      </c>
      <c r="H7" s="21" t="s">
        <v>975</v>
      </c>
      <c r="I7" s="21" t="s">
        <v>976</v>
      </c>
    </row>
    <row r="8" spans="1:9">
      <c r="A8" s="21">
        <v>4</v>
      </c>
      <c r="B8" s="21" t="s">
        <v>977</v>
      </c>
      <c r="C8" s="21" t="s">
        <v>978</v>
      </c>
      <c r="D8" s="21" t="s">
        <v>979</v>
      </c>
      <c r="E8" s="21" t="s">
        <v>980</v>
      </c>
      <c r="F8" s="21" t="s">
        <v>981</v>
      </c>
      <c r="G8" s="21" t="s">
        <v>982</v>
      </c>
      <c r="H8" s="21" t="s">
        <v>983</v>
      </c>
      <c r="I8" s="21" t="s">
        <v>984</v>
      </c>
    </row>
    <row r="9" spans="1:9">
      <c r="A9" s="21">
        <v>5</v>
      </c>
      <c r="B9" s="21" t="s">
        <v>985</v>
      </c>
      <c r="C9" s="21" t="s">
        <v>986</v>
      </c>
      <c r="D9" s="21" t="s">
        <v>987</v>
      </c>
      <c r="E9" s="21" t="s">
        <v>988</v>
      </c>
      <c r="F9" s="21" t="s">
        <v>989</v>
      </c>
      <c r="G9" s="21" t="s">
        <v>990</v>
      </c>
      <c r="H9" s="21" t="s">
        <v>991</v>
      </c>
      <c r="I9" s="21" t="s">
        <v>992</v>
      </c>
    </row>
    <row r="10" spans="1:9">
      <c r="A10" s="21">
        <v>6</v>
      </c>
      <c r="B10" s="21" t="s">
        <v>993</v>
      </c>
      <c r="C10" s="21" t="s">
        <v>994</v>
      </c>
      <c r="D10" s="21" t="s">
        <v>995</v>
      </c>
      <c r="E10" s="21" t="s">
        <v>996</v>
      </c>
      <c r="F10" s="21" t="s">
        <v>997</v>
      </c>
      <c r="G10" s="21" t="s">
        <v>998</v>
      </c>
      <c r="H10" s="21" t="s">
        <v>999</v>
      </c>
      <c r="I10" s="21" t="s">
        <v>1000</v>
      </c>
    </row>
    <row r="11" spans="1:9">
      <c r="A11" s="21">
        <v>7</v>
      </c>
      <c r="B11" s="21" t="s">
        <v>1001</v>
      </c>
      <c r="C11" s="21" t="s">
        <v>1002</v>
      </c>
      <c r="D11" s="21" t="s">
        <v>1003</v>
      </c>
      <c r="E11" s="21" t="s">
        <v>1004</v>
      </c>
      <c r="F11" s="21" t="s">
        <v>1005</v>
      </c>
      <c r="G11" s="21" t="s">
        <v>1006</v>
      </c>
      <c r="H11" s="21" t="s">
        <v>1007</v>
      </c>
      <c r="I11" s="21" t="s">
        <v>1008</v>
      </c>
    </row>
    <row r="12" spans="1:9">
      <c r="A12" s="21">
        <v>8</v>
      </c>
      <c r="B12" s="21" t="s">
        <v>1009</v>
      </c>
      <c r="C12" s="21" t="s">
        <v>1010</v>
      </c>
      <c r="D12" s="21" t="s">
        <v>1011</v>
      </c>
      <c r="E12" s="21" t="s">
        <v>1012</v>
      </c>
      <c r="F12" s="21" t="s">
        <v>1013</v>
      </c>
      <c r="G12" s="21" t="s">
        <v>1014</v>
      </c>
      <c r="H12" s="21" t="s">
        <v>1015</v>
      </c>
      <c r="I12" s="21" t="s">
        <v>1016</v>
      </c>
    </row>
    <row r="13" spans="1:9">
      <c r="A13" s="21">
        <v>9</v>
      </c>
      <c r="B13" s="21" t="s">
        <v>1017</v>
      </c>
      <c r="C13" s="21" t="s">
        <v>1018</v>
      </c>
      <c r="D13" s="21" t="s">
        <v>1019</v>
      </c>
      <c r="E13" s="21" t="s">
        <v>1020</v>
      </c>
      <c r="F13" s="21" t="s">
        <v>1021</v>
      </c>
      <c r="G13" s="21" t="s">
        <v>1022</v>
      </c>
      <c r="H13" s="21" t="s">
        <v>1023</v>
      </c>
      <c r="I13" s="21" t="s">
        <v>1024</v>
      </c>
    </row>
    <row r="14" spans="1:9">
      <c r="A14" s="21">
        <v>10</v>
      </c>
      <c r="B14" s="21" t="s">
        <v>1025</v>
      </c>
      <c r="C14" s="21" t="s">
        <v>1026</v>
      </c>
      <c r="D14" s="21" t="s">
        <v>1027</v>
      </c>
      <c r="E14" s="21" t="s">
        <v>1028</v>
      </c>
      <c r="F14" s="21" t="s">
        <v>1029</v>
      </c>
      <c r="G14" s="21" t="s">
        <v>1030</v>
      </c>
      <c r="H14" s="21" t="s">
        <v>1031</v>
      </c>
      <c r="I14" s="21" t="s">
        <v>1032</v>
      </c>
    </row>
    <row r="15" spans="1:9">
      <c r="A15" s="21">
        <v>11</v>
      </c>
      <c r="B15" s="21" t="s">
        <v>1033</v>
      </c>
      <c r="C15" s="21" t="s">
        <v>1034</v>
      </c>
      <c r="D15" s="21" t="s">
        <v>1035</v>
      </c>
      <c r="E15" s="21" t="s">
        <v>1036</v>
      </c>
      <c r="F15" s="21" t="s">
        <v>1037</v>
      </c>
      <c r="G15" s="21" t="s">
        <v>1038</v>
      </c>
      <c r="H15" s="21" t="s">
        <v>1039</v>
      </c>
      <c r="I15" s="21" t="s">
        <v>1040</v>
      </c>
    </row>
    <row r="16" spans="1:9">
      <c r="A16" s="21">
        <v>12</v>
      </c>
      <c r="B16" s="21" t="s">
        <v>1041</v>
      </c>
      <c r="C16" s="21" t="s">
        <v>1042</v>
      </c>
      <c r="D16" s="21" t="s">
        <v>1043</v>
      </c>
      <c r="E16" s="21" t="s">
        <v>1044</v>
      </c>
      <c r="F16" s="21" t="s">
        <v>1045</v>
      </c>
      <c r="G16" s="21" t="s">
        <v>1046</v>
      </c>
      <c r="H16" s="21" t="s">
        <v>1047</v>
      </c>
      <c r="I16" s="21" t="s">
        <v>1048</v>
      </c>
    </row>
    <row r="17" spans="1:9">
      <c r="A17" s="21">
        <v>13</v>
      </c>
      <c r="B17" s="21"/>
      <c r="C17" s="21" t="s">
        <v>1049</v>
      </c>
      <c r="D17" s="21" t="s">
        <v>1050</v>
      </c>
      <c r="E17" s="21" t="s">
        <v>1051</v>
      </c>
      <c r="F17" s="21" t="s">
        <v>1052</v>
      </c>
      <c r="G17" s="21" t="s">
        <v>1053</v>
      </c>
      <c r="H17" s="21" t="s">
        <v>1054</v>
      </c>
      <c r="I17" s="21" t="s">
        <v>1055</v>
      </c>
    </row>
    <row r="18" spans="1:9">
      <c r="A18" s="21">
        <v>14</v>
      </c>
      <c r="B18" s="21"/>
      <c r="C18" s="21" t="s">
        <v>1056</v>
      </c>
      <c r="D18" s="21" t="s">
        <v>1057</v>
      </c>
      <c r="E18" s="21" t="s">
        <v>1058</v>
      </c>
      <c r="F18" s="21" t="s">
        <v>1059</v>
      </c>
      <c r="G18" s="21" t="s">
        <v>1060</v>
      </c>
      <c r="H18" s="21" t="s">
        <v>1061</v>
      </c>
      <c r="I18" s="21" t="s">
        <v>1062</v>
      </c>
    </row>
    <row r="19" spans="1:9">
      <c r="A19" s="21">
        <v>15</v>
      </c>
      <c r="B19" s="21"/>
      <c r="C19" s="21" t="s">
        <v>1063</v>
      </c>
      <c r="D19" s="21" t="s">
        <v>1064</v>
      </c>
      <c r="E19" s="21" t="s">
        <v>1065</v>
      </c>
      <c r="F19" s="21" t="s">
        <v>1066</v>
      </c>
      <c r="G19" s="21" t="s">
        <v>1067</v>
      </c>
      <c r="H19" s="21" t="s">
        <v>1068</v>
      </c>
      <c r="I19" s="21" t="s">
        <v>1069</v>
      </c>
    </row>
    <row r="20" spans="1:9">
      <c r="A20" s="21">
        <v>16</v>
      </c>
      <c r="B20" s="21"/>
      <c r="C20" s="21" t="s">
        <v>1070</v>
      </c>
      <c r="D20" s="21" t="s">
        <v>1071</v>
      </c>
      <c r="E20" s="21" t="s">
        <v>1072</v>
      </c>
      <c r="F20" s="21" t="s">
        <v>1073</v>
      </c>
      <c r="G20" s="21" t="s">
        <v>1074</v>
      </c>
      <c r="H20" s="21" t="s">
        <v>1075</v>
      </c>
      <c r="I20" s="21" t="s">
        <v>1076</v>
      </c>
    </row>
    <row r="21" spans="1:9">
      <c r="A21" s="21">
        <v>17</v>
      </c>
      <c r="B21" s="21"/>
      <c r="C21" s="21"/>
      <c r="D21" s="21" t="s">
        <v>1077</v>
      </c>
      <c r="E21" s="21" t="s">
        <v>1078</v>
      </c>
      <c r="F21" s="21" t="s">
        <v>1079</v>
      </c>
      <c r="G21" s="21" t="s">
        <v>1080</v>
      </c>
      <c r="H21" s="21" t="s">
        <v>1081</v>
      </c>
      <c r="I21" s="21" t="s">
        <v>1082</v>
      </c>
    </row>
    <row r="22" spans="1:9">
      <c r="A22" s="21">
        <v>18</v>
      </c>
      <c r="B22" s="21"/>
      <c r="C22" s="21"/>
      <c r="D22" s="21" t="s">
        <v>1083</v>
      </c>
      <c r="E22" s="21" t="s">
        <v>1084</v>
      </c>
      <c r="F22" s="21" t="s">
        <v>1085</v>
      </c>
      <c r="G22" s="21" t="s">
        <v>1086</v>
      </c>
      <c r="H22" s="21" t="s">
        <v>1087</v>
      </c>
      <c r="I22" s="21" t="s">
        <v>1088</v>
      </c>
    </row>
    <row r="23" spans="1:9">
      <c r="A23" s="21">
        <v>19</v>
      </c>
      <c r="B23" s="21"/>
      <c r="C23" s="21"/>
      <c r="D23" s="21" t="s">
        <v>1089</v>
      </c>
      <c r="E23" s="21" t="s">
        <v>1090</v>
      </c>
      <c r="F23" s="21" t="s">
        <v>1091</v>
      </c>
      <c r="G23" s="21" t="s">
        <v>1092</v>
      </c>
      <c r="H23" s="21" t="s">
        <v>1093</v>
      </c>
      <c r="I23" s="21" t="s">
        <v>1094</v>
      </c>
    </row>
    <row r="24" spans="1:9">
      <c r="A24" s="21">
        <v>20</v>
      </c>
      <c r="B24" s="21"/>
      <c r="C24" s="21"/>
      <c r="D24" s="21" t="s">
        <v>1095</v>
      </c>
      <c r="E24" s="21" t="s">
        <v>1096</v>
      </c>
      <c r="F24" s="21" t="s">
        <v>1097</v>
      </c>
      <c r="G24" s="21" t="s">
        <v>1098</v>
      </c>
      <c r="H24" s="21" t="s">
        <v>1099</v>
      </c>
      <c r="I24" s="21" t="s">
        <v>1100</v>
      </c>
    </row>
    <row r="25" spans="1:9">
      <c r="A25" s="21">
        <v>21</v>
      </c>
      <c r="B25" s="21"/>
      <c r="C25" s="21"/>
      <c r="D25" s="21" t="s">
        <v>1101</v>
      </c>
      <c r="E25" s="21" t="s">
        <v>1102</v>
      </c>
      <c r="F25" s="21" t="s">
        <v>1103</v>
      </c>
      <c r="G25" s="21" t="s">
        <v>1104</v>
      </c>
      <c r="H25" s="21" t="s">
        <v>1105</v>
      </c>
      <c r="I25" s="21" t="s">
        <v>1106</v>
      </c>
    </row>
    <row r="26" spans="1:9">
      <c r="A26" s="21">
        <v>22</v>
      </c>
      <c r="B26" s="21"/>
      <c r="C26" s="21"/>
      <c r="D26" s="21" t="s">
        <v>1107</v>
      </c>
      <c r="E26" s="21" t="s">
        <v>1108</v>
      </c>
      <c r="F26" s="21" t="s">
        <v>1109</v>
      </c>
      <c r="G26" s="21" t="s">
        <v>1110</v>
      </c>
      <c r="H26" s="21" t="s">
        <v>1111</v>
      </c>
      <c r="I26" s="21" t="s">
        <v>1112</v>
      </c>
    </row>
    <row r="27" spans="1:9">
      <c r="A27" s="21">
        <v>23</v>
      </c>
      <c r="B27" s="21"/>
      <c r="C27" s="21"/>
      <c r="D27" s="21" t="s">
        <v>1113</v>
      </c>
      <c r="E27" s="21" t="s">
        <v>1114</v>
      </c>
      <c r="F27" s="21" t="s">
        <v>1115</v>
      </c>
      <c r="G27" s="21" t="s">
        <v>1116</v>
      </c>
      <c r="H27" s="21" t="s">
        <v>1117</v>
      </c>
      <c r="I27" s="21" t="s">
        <v>1118</v>
      </c>
    </row>
    <row r="28" spans="1:9">
      <c r="A28" s="21">
        <v>24</v>
      </c>
      <c r="B28" s="21"/>
      <c r="C28" s="21"/>
      <c r="D28" s="21" t="s">
        <v>1119</v>
      </c>
      <c r="E28" s="21" t="s">
        <v>1120</v>
      </c>
      <c r="F28" s="21" t="s">
        <v>1121</v>
      </c>
      <c r="G28" s="21" t="s">
        <v>1122</v>
      </c>
      <c r="H28" s="21" t="s">
        <v>1123</v>
      </c>
      <c r="I28" s="21" t="s">
        <v>1124</v>
      </c>
    </row>
    <row r="29" spans="1:9">
      <c r="A29" s="21">
        <v>25</v>
      </c>
      <c r="B29" s="21"/>
      <c r="C29" s="21"/>
      <c r="D29" s="21" t="s">
        <v>1125</v>
      </c>
      <c r="E29" s="21" t="s">
        <v>1126</v>
      </c>
      <c r="F29" s="21" t="s">
        <v>1127</v>
      </c>
      <c r="G29" s="21" t="s">
        <v>1128</v>
      </c>
      <c r="H29" s="21" t="s">
        <v>1129</v>
      </c>
      <c r="I29" s="21" t="s">
        <v>1130</v>
      </c>
    </row>
    <row r="30" spans="1:9">
      <c r="A30" s="21">
        <v>26</v>
      </c>
      <c r="B30" s="21"/>
      <c r="C30" s="21"/>
      <c r="D30" s="21"/>
      <c r="E30" s="21" t="s">
        <v>1131</v>
      </c>
      <c r="F30" s="21"/>
      <c r="G30" s="21" t="s">
        <v>1132</v>
      </c>
      <c r="H30" s="21" t="s">
        <v>1133</v>
      </c>
      <c r="I30" s="21" t="s">
        <v>1134</v>
      </c>
    </row>
    <row r="31" spans="1:9">
      <c r="A31" s="21">
        <v>27</v>
      </c>
      <c r="B31" s="21"/>
      <c r="C31" s="21"/>
      <c r="D31" s="21"/>
      <c r="E31" s="21" t="s">
        <v>1135</v>
      </c>
      <c r="F31" s="21"/>
      <c r="G31" s="21" t="s">
        <v>1136</v>
      </c>
      <c r="H31" s="21" t="s">
        <v>1137</v>
      </c>
      <c r="I31" s="21"/>
    </row>
    <row r="32" spans="1:9">
      <c r="A32" s="21">
        <v>28</v>
      </c>
      <c r="B32" s="21"/>
      <c r="C32" s="21"/>
      <c r="D32" s="21"/>
      <c r="E32" s="21" t="s">
        <v>1138</v>
      </c>
      <c r="F32" s="21"/>
      <c r="G32" s="21" t="s">
        <v>1139</v>
      </c>
      <c r="H32" s="21" t="s">
        <v>1140</v>
      </c>
      <c r="I32" s="21"/>
    </row>
    <row r="33" spans="1:9">
      <c r="A33" s="21">
        <v>29</v>
      </c>
      <c r="B33" s="21"/>
      <c r="C33" s="21"/>
      <c r="D33" s="21"/>
      <c r="E33" s="21" t="s">
        <v>1141</v>
      </c>
      <c r="F33" s="21"/>
      <c r="G33" s="21" t="s">
        <v>1142</v>
      </c>
      <c r="H33" s="21" t="s">
        <v>1143</v>
      </c>
      <c r="I33" s="21"/>
    </row>
    <row r="34" spans="1:9">
      <c r="A34" s="21">
        <v>30</v>
      </c>
      <c r="B34" s="21"/>
      <c r="C34" s="21"/>
      <c r="D34" s="21"/>
      <c r="E34" s="21" t="s">
        <v>1144</v>
      </c>
      <c r="F34" s="21"/>
      <c r="G34" s="21" t="s">
        <v>1145</v>
      </c>
      <c r="H34" s="21" t="s">
        <v>1146</v>
      </c>
      <c r="I34" s="21"/>
    </row>
    <row r="35" spans="1:9">
      <c r="A35" s="21">
        <v>31</v>
      </c>
      <c r="B35" s="21"/>
      <c r="C35" s="21"/>
      <c r="D35" s="21"/>
      <c r="E35" s="21" t="s">
        <v>1147</v>
      </c>
      <c r="F35" s="21"/>
      <c r="G35" s="21"/>
      <c r="H35" s="21"/>
      <c r="I35" s="21"/>
    </row>
    <row r="36" spans="1:9">
      <c r="A36" s="21">
        <v>32</v>
      </c>
      <c r="B36" s="21"/>
      <c r="C36" s="21"/>
      <c r="D36" s="21"/>
      <c r="E36" s="21" t="s">
        <v>1148</v>
      </c>
      <c r="F36" s="21"/>
      <c r="G36" s="21"/>
      <c r="H36" s="21"/>
      <c r="I36" s="21"/>
    </row>
    <row r="37" spans="1:9">
      <c r="A37" s="21">
        <v>33</v>
      </c>
      <c r="B37" s="21"/>
      <c r="C37" s="21"/>
      <c r="D37" s="21"/>
      <c r="E37" s="21" t="s">
        <v>1149</v>
      </c>
      <c r="F37" s="21"/>
      <c r="G37" s="21"/>
      <c r="H37" s="21"/>
      <c r="I37" s="21"/>
    </row>
  </sheetData>
  <mergeCells count="3">
    <mergeCell ref="A1:E1"/>
    <mergeCell ref="F1:G1"/>
    <mergeCell ref="H1:I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"/>
  <sheetViews>
    <sheetView topLeftCell="A40" workbookViewId="0">
      <selection activeCell="D3" sqref="D3"/>
    </sheetView>
  </sheetViews>
  <sheetFormatPr defaultColWidth="9" defaultRowHeight="17.25"/>
  <cols>
    <col min="1" max="1" width="13.8571428571429" style="2" customWidth="1"/>
    <col min="2" max="2" width="30.8571428571429" style="2" customWidth="1"/>
    <col min="3" max="3" width="35.2857142857143" style="2" customWidth="1"/>
    <col min="4" max="4" width="37.4285714285714" style="2" customWidth="1"/>
    <col min="5" max="5" width="41.4285714285714" style="2" customWidth="1"/>
    <col min="6" max="6" width="34.4285714285714" style="2" customWidth="1"/>
    <col min="7" max="23" width="9" style="2"/>
    <col min="24" max="16384" width="9" style="3"/>
  </cols>
  <sheetData>
    <row r="1" spans="1:23">
      <c r="A1" s="4"/>
      <c r="B1" s="5" t="s">
        <v>1150</v>
      </c>
      <c r="C1" s="6"/>
      <c r="D1" s="7"/>
      <c r="E1" s="5" t="s">
        <v>1151</v>
      </c>
      <c r="F1" s="6"/>
    </row>
    <row r="2" s="1" customFormat="1" ht="51.75" spans="1:23">
      <c r="A2" s="8" t="s">
        <v>1152</v>
      </c>
      <c r="B2" s="8" t="s">
        <v>1153</v>
      </c>
      <c r="C2" s="8" t="s">
        <v>1154</v>
      </c>
      <c r="D2" s="9" t="s">
        <v>1155</v>
      </c>
      <c r="E2" s="8" t="s">
        <v>1156</v>
      </c>
      <c r="F2" s="8" t="s">
        <v>1157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>
      <c r="A3" s="11" t="s">
        <v>936</v>
      </c>
      <c r="B3" s="12" t="s">
        <v>1158</v>
      </c>
      <c r="C3" s="12" t="s">
        <v>1159</v>
      </c>
      <c r="D3" s="13" t="s">
        <v>1160</v>
      </c>
      <c r="E3" s="12" t="s">
        <v>1161</v>
      </c>
      <c r="F3" s="12" t="s">
        <v>1162</v>
      </c>
    </row>
    <row r="4" ht="42.75" spans="1:23">
      <c r="A4" s="11" t="s">
        <v>944</v>
      </c>
      <c r="B4" s="8" t="s">
        <v>1163</v>
      </c>
      <c r="C4" s="8" t="s">
        <v>1164</v>
      </c>
      <c r="D4" s="9" t="s">
        <v>1165</v>
      </c>
      <c r="E4" s="8" t="s">
        <v>1166</v>
      </c>
      <c r="F4" s="8" t="s">
        <v>1167</v>
      </c>
    </row>
    <row r="5" spans="1:23">
      <c r="A5" s="11">
        <v>1</v>
      </c>
      <c r="B5" s="14" t="s">
        <v>1168</v>
      </c>
      <c r="C5" s="14" t="s">
        <v>1169</v>
      </c>
      <c r="D5" s="15" t="s">
        <v>1170</v>
      </c>
      <c r="E5" s="14" t="s">
        <v>1171</v>
      </c>
      <c r="F5" s="14" t="s">
        <v>1172</v>
      </c>
    </row>
    <row r="6" spans="1:23">
      <c r="A6" s="11">
        <v>2</v>
      </c>
      <c r="B6" s="11" t="s">
        <v>1173</v>
      </c>
      <c r="C6" s="11" t="s">
        <v>1174</v>
      </c>
      <c r="D6" s="13" t="s">
        <v>1175</v>
      </c>
      <c r="E6" s="11" t="s">
        <v>1176</v>
      </c>
      <c r="F6" s="11" t="s">
        <v>1177</v>
      </c>
    </row>
    <row r="7" spans="1:23">
      <c r="A7" s="11">
        <v>3</v>
      </c>
      <c r="B7" s="11" t="s">
        <v>1178</v>
      </c>
      <c r="C7" s="11" t="s">
        <v>1179</v>
      </c>
      <c r="D7" s="13" t="s">
        <v>1180</v>
      </c>
      <c r="E7" s="11" t="s">
        <v>1181</v>
      </c>
      <c r="F7" s="11" t="s">
        <v>1182</v>
      </c>
    </row>
    <row r="8" spans="1:23">
      <c r="A8" s="11">
        <v>4</v>
      </c>
      <c r="B8" s="11" t="s">
        <v>1183</v>
      </c>
      <c r="C8" s="11" t="s">
        <v>1184</v>
      </c>
      <c r="D8" s="13" t="s">
        <v>1185</v>
      </c>
      <c r="E8" s="11" t="s">
        <v>1186</v>
      </c>
      <c r="F8" s="11" t="s">
        <v>1187</v>
      </c>
    </row>
    <row r="9" spans="1:23">
      <c r="A9" s="11">
        <v>5</v>
      </c>
      <c r="B9" s="11" t="s">
        <v>1188</v>
      </c>
      <c r="C9" s="11" t="s">
        <v>1189</v>
      </c>
      <c r="D9" s="13" t="s">
        <v>1190</v>
      </c>
      <c r="E9" s="11" t="s">
        <v>1191</v>
      </c>
      <c r="F9" s="11" t="s">
        <v>1192</v>
      </c>
    </row>
    <row r="10" spans="1:23">
      <c r="A10" s="11">
        <v>6</v>
      </c>
      <c r="B10" s="11" t="s">
        <v>1193</v>
      </c>
      <c r="C10" s="11" t="s">
        <v>1194</v>
      </c>
      <c r="D10" s="13" t="s">
        <v>1195</v>
      </c>
      <c r="E10" s="11" t="s">
        <v>1196</v>
      </c>
      <c r="F10" s="11" t="s">
        <v>1197</v>
      </c>
    </row>
    <row r="11" spans="1:23">
      <c r="A11" s="11">
        <v>7</v>
      </c>
      <c r="B11" s="11" t="s">
        <v>1198</v>
      </c>
      <c r="C11" s="11" t="s">
        <v>1199</v>
      </c>
      <c r="D11" s="13" t="s">
        <v>1200</v>
      </c>
      <c r="E11" s="11" t="s">
        <v>1201</v>
      </c>
      <c r="F11" s="11" t="s">
        <v>1202</v>
      </c>
    </row>
    <row r="12" spans="1:23">
      <c r="A12" s="11">
        <v>8</v>
      </c>
      <c r="B12" s="11" t="s">
        <v>1203</v>
      </c>
      <c r="C12" s="11" t="s">
        <v>1204</v>
      </c>
      <c r="D12" s="13" t="s">
        <v>1205</v>
      </c>
      <c r="E12" s="11" t="s">
        <v>1206</v>
      </c>
      <c r="F12" s="11" t="s">
        <v>1207</v>
      </c>
    </row>
    <row r="13" spans="1:23">
      <c r="A13" s="11">
        <v>9</v>
      </c>
      <c r="B13" s="11" t="s">
        <v>1208</v>
      </c>
      <c r="C13" s="11" t="s">
        <v>1209</v>
      </c>
      <c r="D13" s="13" t="s">
        <v>1210</v>
      </c>
      <c r="E13" s="11" t="s">
        <v>1211</v>
      </c>
      <c r="F13" s="11" t="s">
        <v>1212</v>
      </c>
    </row>
    <row r="14" spans="1:23">
      <c r="A14" s="11">
        <v>10</v>
      </c>
      <c r="B14" s="11" t="s">
        <v>1213</v>
      </c>
      <c r="C14" s="11" t="s">
        <v>1214</v>
      </c>
      <c r="D14" s="13" t="s">
        <v>1215</v>
      </c>
      <c r="E14" s="11" t="s">
        <v>1216</v>
      </c>
      <c r="F14" s="11" t="s">
        <v>1217</v>
      </c>
    </row>
    <row r="15" spans="1:23">
      <c r="A15" s="11">
        <v>11</v>
      </c>
      <c r="B15" s="11" t="s">
        <v>1218</v>
      </c>
      <c r="C15" s="11" t="s">
        <v>1219</v>
      </c>
      <c r="D15" s="11"/>
      <c r="E15" s="11" t="s">
        <v>1220</v>
      </c>
      <c r="F15" s="11" t="s">
        <v>1221</v>
      </c>
    </row>
    <row r="16" spans="1:23">
      <c r="A16" s="11">
        <v>12</v>
      </c>
      <c r="B16" s="11" t="s">
        <v>1222</v>
      </c>
      <c r="C16" s="11" t="s">
        <v>1223</v>
      </c>
      <c r="D16" s="11"/>
      <c r="E16" s="11" t="s">
        <v>1224</v>
      </c>
      <c r="F16" s="11" t="s">
        <v>1225</v>
      </c>
    </row>
    <row r="17" spans="1:6">
      <c r="A17" s="11">
        <v>13</v>
      </c>
      <c r="B17" s="11" t="s">
        <v>1226</v>
      </c>
      <c r="C17" s="11" t="s">
        <v>1227</v>
      </c>
      <c r="D17" s="11"/>
      <c r="E17" s="11" t="s">
        <v>1228</v>
      </c>
      <c r="F17" s="11" t="s">
        <v>1229</v>
      </c>
    </row>
    <row r="18" spans="1:6">
      <c r="A18" s="11">
        <v>14</v>
      </c>
      <c r="B18" s="11" t="s">
        <v>1230</v>
      </c>
      <c r="C18" s="11" t="s">
        <v>1231</v>
      </c>
      <c r="D18" s="11"/>
      <c r="E18" s="11" t="s">
        <v>1232</v>
      </c>
      <c r="F18" s="11" t="s">
        <v>1233</v>
      </c>
    </row>
    <row r="19" spans="1:6">
      <c r="A19" s="11">
        <v>15</v>
      </c>
      <c r="B19" s="11" t="s">
        <v>1234</v>
      </c>
      <c r="C19" s="11" t="s">
        <v>1235</v>
      </c>
      <c r="D19" s="11"/>
      <c r="E19" s="11" t="s">
        <v>1236</v>
      </c>
      <c r="F19" s="11" t="s">
        <v>1237</v>
      </c>
    </row>
    <row r="20" spans="1:6">
      <c r="A20" s="11">
        <v>16</v>
      </c>
      <c r="B20" s="11" t="s">
        <v>1238</v>
      </c>
      <c r="C20" s="11" t="s">
        <v>1239</v>
      </c>
      <c r="D20" s="11"/>
      <c r="E20" s="11" t="s">
        <v>1240</v>
      </c>
      <c r="F20" s="11" t="s">
        <v>1241</v>
      </c>
    </row>
    <row r="21" spans="1:6">
      <c r="A21" s="11">
        <v>17</v>
      </c>
      <c r="B21" s="11"/>
      <c r="C21" s="11" t="s">
        <v>1242</v>
      </c>
      <c r="D21" s="11"/>
      <c r="E21" s="11" t="s">
        <v>1243</v>
      </c>
      <c r="F21" s="11" t="s">
        <v>1244</v>
      </c>
    </row>
    <row r="22" spans="1:6">
      <c r="A22" s="11">
        <v>18</v>
      </c>
      <c r="B22" s="11"/>
      <c r="C22" s="11" t="s">
        <v>1245</v>
      </c>
      <c r="D22" s="11"/>
      <c r="E22" s="11" t="s">
        <v>1246</v>
      </c>
      <c r="F22" s="11" t="s">
        <v>1247</v>
      </c>
    </row>
    <row r="23" spans="1:6">
      <c r="A23" s="11">
        <v>19</v>
      </c>
      <c r="B23" s="11"/>
      <c r="C23" s="11" t="s">
        <v>1248</v>
      </c>
      <c r="D23" s="11"/>
      <c r="E23" s="11" t="s">
        <v>1249</v>
      </c>
      <c r="F23" s="11" t="s">
        <v>1250</v>
      </c>
    </row>
    <row r="24" spans="1:6">
      <c r="A24" s="11">
        <v>20</v>
      </c>
      <c r="B24" s="11"/>
      <c r="C24" s="11" t="s">
        <v>1251</v>
      </c>
      <c r="D24" s="11"/>
      <c r="E24" s="11" t="s">
        <v>1252</v>
      </c>
      <c r="F24" s="11" t="s">
        <v>1253</v>
      </c>
    </row>
    <row r="25" spans="1:6">
      <c r="A25" s="11">
        <v>21</v>
      </c>
      <c r="B25" s="11"/>
      <c r="C25" s="11" t="s">
        <v>1254</v>
      </c>
      <c r="D25" s="11"/>
      <c r="E25" s="11"/>
      <c r="F25" s="11" t="s">
        <v>1255</v>
      </c>
    </row>
    <row r="26" spans="1:6">
      <c r="A26" s="11">
        <v>22</v>
      </c>
      <c r="B26" s="11"/>
      <c r="C26" s="11" t="s">
        <v>1256</v>
      </c>
      <c r="D26" s="11"/>
      <c r="E26" s="11"/>
      <c r="F26" s="11" t="s">
        <v>1257</v>
      </c>
    </row>
    <row r="27" spans="1:6">
      <c r="A27" s="11">
        <v>23</v>
      </c>
      <c r="B27" s="11"/>
      <c r="C27" s="11" t="s">
        <v>1258</v>
      </c>
      <c r="D27" s="11"/>
      <c r="E27" s="11"/>
      <c r="F27" s="11" t="s">
        <v>1259</v>
      </c>
    </row>
    <row r="28" spans="1:6">
      <c r="A28" s="11">
        <v>24</v>
      </c>
      <c r="B28" s="11"/>
      <c r="C28" s="11" t="s">
        <v>1260</v>
      </c>
      <c r="D28" s="11"/>
      <c r="E28" s="11"/>
      <c r="F28" s="11" t="s">
        <v>1261</v>
      </c>
    </row>
    <row r="29" spans="1:6">
      <c r="A29" s="11">
        <v>25</v>
      </c>
      <c r="B29" s="11"/>
      <c r="C29" s="11" t="s">
        <v>1262</v>
      </c>
      <c r="D29" s="11"/>
      <c r="E29" s="11"/>
      <c r="F29" s="11" t="s">
        <v>1263</v>
      </c>
    </row>
    <row r="30" spans="1:6">
      <c r="A30" s="11">
        <v>26</v>
      </c>
      <c r="B30" s="11"/>
      <c r="C30" s="11" t="s">
        <v>1264</v>
      </c>
      <c r="D30" s="11"/>
      <c r="E30" s="11"/>
      <c r="F30" s="11" t="s">
        <v>1265</v>
      </c>
    </row>
    <row r="31" spans="1:6">
      <c r="A31" s="11">
        <v>27</v>
      </c>
      <c r="B31" s="11"/>
      <c r="C31" s="11" t="s">
        <v>1266</v>
      </c>
      <c r="D31" s="11"/>
      <c r="E31" s="11"/>
      <c r="F31" s="11" t="s">
        <v>1267</v>
      </c>
    </row>
    <row r="32" spans="1:6">
      <c r="A32" s="11">
        <v>28</v>
      </c>
      <c r="B32" s="11"/>
      <c r="C32" s="11" t="s">
        <v>1268</v>
      </c>
      <c r="D32" s="11"/>
      <c r="E32" s="11"/>
      <c r="F32" s="11" t="s">
        <v>1269</v>
      </c>
    </row>
    <row r="33" spans="1:6">
      <c r="A33" s="11">
        <v>29</v>
      </c>
      <c r="B33" s="11"/>
      <c r="C33" s="11" t="s">
        <v>1270</v>
      </c>
      <c r="D33" s="11"/>
      <c r="E33" s="11"/>
      <c r="F33" s="11" t="s">
        <v>1271</v>
      </c>
    </row>
    <row r="34" spans="1:6">
      <c r="A34" s="11">
        <v>30</v>
      </c>
      <c r="B34" s="11"/>
      <c r="C34" s="11" t="s">
        <v>1272</v>
      </c>
      <c r="D34" s="11"/>
      <c r="E34" s="11"/>
      <c r="F34" s="11" t="s">
        <v>1273</v>
      </c>
    </row>
    <row r="35" spans="1:6">
      <c r="A35" s="11">
        <v>31</v>
      </c>
      <c r="B35" s="11"/>
      <c r="C35" s="11" t="s">
        <v>1274</v>
      </c>
      <c r="D35" s="11"/>
      <c r="E35" s="11"/>
      <c r="F35" s="11" t="s">
        <v>1275</v>
      </c>
    </row>
    <row r="36" spans="1:6">
      <c r="A36" s="11">
        <v>32</v>
      </c>
      <c r="B36" s="11"/>
      <c r="C36" s="11" t="s">
        <v>1276</v>
      </c>
      <c r="D36" s="11"/>
      <c r="E36" s="11"/>
      <c r="F36" s="11" t="s">
        <v>1277</v>
      </c>
    </row>
    <row r="37" spans="1:6">
      <c r="A37" s="11">
        <v>33</v>
      </c>
      <c r="B37" s="11"/>
      <c r="C37" s="11" t="s">
        <v>1278</v>
      </c>
      <c r="D37" s="11"/>
      <c r="E37" s="11"/>
      <c r="F37" s="11" t="s">
        <v>1279</v>
      </c>
    </row>
    <row r="38" spans="1:6">
      <c r="C38" s="2" t="s">
        <v>1280</v>
      </c>
      <c r="F38" s="2" t="s">
        <v>1281</v>
      </c>
    </row>
    <row r="39" spans="1:6">
      <c r="C39" s="2" t="s">
        <v>1282</v>
      </c>
      <c r="F39" s="2" t="s">
        <v>1283</v>
      </c>
    </row>
    <row r="40" spans="1:6">
      <c r="C40" s="2" t="s">
        <v>1284</v>
      </c>
      <c r="F40" s="2" t="s">
        <v>1285</v>
      </c>
    </row>
    <row r="41" spans="1:6">
      <c r="C41" s="2" t="s">
        <v>1286</v>
      </c>
      <c r="F41" s="2" t="s">
        <v>1287</v>
      </c>
    </row>
    <row r="42" spans="1:6">
      <c r="C42" s="2" t="s">
        <v>1288</v>
      </c>
      <c r="F42" s="2" t="s">
        <v>1289</v>
      </c>
    </row>
    <row r="43" spans="1:6">
      <c r="C43" s="2" t="s">
        <v>1290</v>
      </c>
      <c r="F43" s="2" t="s">
        <v>1291</v>
      </c>
    </row>
    <row r="44" spans="1:6">
      <c r="C44" s="2" t="s">
        <v>1292</v>
      </c>
      <c r="F44" s="2" t="s">
        <v>1293</v>
      </c>
    </row>
    <row r="45" spans="1:6">
      <c r="C45" s="2" t="s">
        <v>1294</v>
      </c>
      <c r="F45" s="2" t="s">
        <v>1295</v>
      </c>
    </row>
    <row r="46" spans="1:6">
      <c r="C46" s="2" t="s">
        <v>1296</v>
      </c>
      <c r="F46" s="2" t="s">
        <v>1297</v>
      </c>
    </row>
    <row r="47" spans="1:6">
      <c r="C47" s="2" t="s">
        <v>1298</v>
      </c>
      <c r="F47" s="2" t="s">
        <v>1299</v>
      </c>
    </row>
    <row r="48" spans="1:6">
      <c r="C48" s="2" t="s">
        <v>1300</v>
      </c>
      <c r="F48" s="2" t="s">
        <v>1301</v>
      </c>
    </row>
    <row r="49" spans="3:6">
      <c r="C49" s="2" t="s">
        <v>1302</v>
      </c>
      <c r="F49" s="2" t="s">
        <v>1303</v>
      </c>
    </row>
    <row r="50" spans="3:6">
      <c r="C50" s="2" t="s">
        <v>1304</v>
      </c>
    </row>
    <row r="51" spans="3:6">
      <c r="C51" s="2" t="s">
        <v>1305</v>
      </c>
    </row>
    <row r="52" spans="3:6">
      <c r="C52" s="2" t="s">
        <v>1306</v>
      </c>
    </row>
    <row r="53" spans="3:6">
      <c r="C53" s="2" t="s">
        <v>1307</v>
      </c>
    </row>
    <row r="54" spans="3:6">
      <c r="C54" s="2" t="s">
        <v>1308</v>
      </c>
    </row>
  </sheetData>
  <mergeCells count="2">
    <mergeCell ref="B1:D1"/>
    <mergeCell ref="E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SR-IP</vt:lpstr>
      <vt:lpstr>TW-IP</vt:lpstr>
      <vt:lpstr>IP</vt:lpstr>
      <vt:lpstr>SR</vt:lpstr>
      <vt:lpstr>Sheet2</vt:lpstr>
      <vt:lpstr>MES</vt:lpstr>
      <vt:lpstr>TW</vt:lpstr>
      <vt:lpstr>SR-Fixter SN</vt:lpstr>
      <vt:lpstr>TW-Fixtuer SN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阮庭勇</dc:creator>
  <cp:lastModifiedBy>VNGZ</cp:lastModifiedBy>
  <dcterms:created xsi:type="dcterms:W3CDTF">2015-06-05T18:17:00Z</dcterms:created>
  <cp:lastPrinted>2026-10-07T11:01:00Z</cp:lastPrinted>
  <dcterms:modified xsi:type="dcterms:W3CDTF">2026-10-16T08:39:08Z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3979EE70219845FE9B5C6D11535B4C5D_13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